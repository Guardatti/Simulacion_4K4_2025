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UARIO\Desktop\Facultad\4° AÑO\Simulacion 4K4\Trabajos Prácticos 2025\4-\"/>
    </mc:Choice>
  </mc:AlternateContent>
  <xr:revisionPtr revIDLastSave="0" documentId="8_{6C692C93-5579-4607-B148-7B7B9E715B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ción" sheetId="1" r:id="rId1"/>
    <sheet name="Contenido de la simulación" sheetId="2" r:id="rId2"/>
  </sheets>
  <calcPr calcId="191029"/>
  <extLst>
    <ext uri="GoogleSheetsCustomDataVersion2">
      <go:sheetsCustomData xmlns:go="http://customooxmlschemas.google.com/" r:id="rId6" roundtripDataChecksum="by+kKqzvafzV1rxau011gfvATeSm6A7ztV4JRK/BYiw="/>
    </ext>
  </extLst>
</workbook>
</file>

<file path=xl/calcChain.xml><?xml version="1.0" encoding="utf-8"?>
<calcChain xmlns="http://schemas.openxmlformats.org/spreadsheetml/2006/main">
  <c r="T64" i="1" l="1"/>
  <c r="S64" i="1"/>
  <c r="AB63" i="1"/>
  <c r="AB64" i="1" s="1"/>
  <c r="AB65" i="1" s="1"/>
  <c r="P63" i="1"/>
  <c r="AB62" i="1"/>
  <c r="K62" i="1"/>
  <c r="J62" i="1"/>
  <c r="AC59" i="1"/>
  <c r="AC60" i="1" s="1"/>
  <c r="AC61" i="1" s="1"/>
  <c r="AC62" i="1" s="1"/>
  <c r="AC63" i="1" s="1"/>
  <c r="AC64" i="1" s="1"/>
  <c r="AC65" i="1" s="1"/>
  <c r="T59" i="1"/>
  <c r="S59" i="1"/>
  <c r="AC58" i="1"/>
  <c r="AC57" i="1"/>
  <c r="X57" i="1"/>
  <c r="W57" i="1"/>
  <c r="AC55" i="1"/>
  <c r="AC54" i="1"/>
  <c r="O54" i="1"/>
  <c r="AC53" i="1"/>
  <c r="AB53" i="1"/>
  <c r="K53" i="1"/>
  <c r="J53" i="1"/>
  <c r="AB51" i="1"/>
  <c r="T51" i="1"/>
  <c r="S51" i="1"/>
  <c r="AB47" i="1"/>
  <c r="X47" i="1"/>
  <c r="W47" i="1"/>
  <c r="AC46" i="1"/>
  <c r="AB46" i="1"/>
  <c r="J46" i="1"/>
  <c r="AC44" i="1"/>
  <c r="T44" i="1"/>
  <c r="S44" i="1"/>
  <c r="AC43" i="1"/>
  <c r="AB43" i="1"/>
  <c r="K43" i="1"/>
  <c r="J43" i="1"/>
  <c r="AB42" i="1"/>
  <c r="AC40" i="1"/>
  <c r="X40" i="1"/>
  <c r="W40" i="1"/>
  <c r="AC39" i="1"/>
  <c r="AB39" i="1"/>
  <c r="K39" i="1"/>
  <c r="J39" i="1"/>
  <c r="AB38" i="1"/>
  <c r="S36" i="1"/>
  <c r="AC35" i="1"/>
  <c r="L34" i="1"/>
  <c r="J34" i="1"/>
  <c r="J33" i="1"/>
  <c r="AC32" i="1"/>
  <c r="AB32" i="1"/>
  <c r="AB33" i="1" s="1"/>
  <c r="AB34" i="1" s="1"/>
  <c r="AB31" i="1"/>
  <c r="X31" i="1"/>
  <c r="W31" i="1"/>
  <c r="AC30" i="1"/>
  <c r="AB30" i="1"/>
  <c r="T28" i="1"/>
  <c r="S28" i="1"/>
  <c r="AB27" i="1"/>
  <c r="K27" i="1"/>
  <c r="J27" i="1"/>
  <c r="F27" i="1"/>
  <c r="F26" i="1"/>
</calcChain>
</file>

<file path=xl/sharedStrings.xml><?xml version="1.0" encoding="utf-8"?>
<sst xmlns="http://schemas.openxmlformats.org/spreadsheetml/2006/main" count="1926" uniqueCount="173">
  <si>
    <t>llegada_cliente</t>
  </si>
  <si>
    <t>P()</t>
  </si>
  <si>
    <t>p() ac</t>
  </si>
  <si>
    <t>Pide libro</t>
  </si>
  <si>
    <t>Devuelve libro</t>
  </si>
  <si>
    <t>Consulta</t>
  </si>
  <si>
    <t>Tiempo consulta</t>
  </si>
  <si>
    <t>U(2,5)</t>
  </si>
  <si>
    <t>Tiempo alquiler</t>
  </si>
  <si>
    <t>ExpNeg(6')</t>
  </si>
  <si>
    <t>Tiempo recibir libro</t>
  </si>
  <si>
    <t>U(1,30 - 2,30)</t>
  </si>
  <si>
    <t>llegada_cliente(i)</t>
  </si>
  <si>
    <t>fin_atencion_alquiler(i)</t>
  </si>
  <si>
    <t>fin_atencion_devolucion(i)</t>
  </si>
  <si>
    <t>fin_atencion_consulta(i)</t>
  </si>
  <si>
    <t>Empleado_1</t>
  </si>
  <si>
    <t>Empleado_2</t>
  </si>
  <si>
    <t>Contadores/Colas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</si>
  <si>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</si>
  <si>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</si>
  <si>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</si>
  <si>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</si>
  <si>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</si>
  <si>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</si>
  <si>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</si>
  <si>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</si>
  <si>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</si>
  <si>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</si>
  <si>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</si>
  <si>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</si>
  <si>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</si>
  <si>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</si>
  <si>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</si>
  <si>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</si>
  <si>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</si>
  <si>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</si>
  <si>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n°</t>
  </si>
  <si>
    <t>Evento</t>
  </si>
  <si>
    <t>Reloj (minutos)</t>
  </si>
  <si>
    <t>Tiempo entre llegadas</t>
  </si>
  <si>
    <t>Próxima llegada</t>
  </si>
  <si>
    <t>RND Objetivo</t>
  </si>
  <si>
    <t>Objetivo</t>
  </si>
  <si>
    <t>RND</t>
  </si>
  <si>
    <t>Tiempo de atención alquiler</t>
  </si>
  <si>
    <t>fin_atencion_alquiler(1)</t>
  </si>
  <si>
    <t>fin_atencion_alquiler (2)</t>
  </si>
  <si>
    <t xml:space="preserve">RND </t>
  </si>
  <si>
    <t>Se queda?</t>
  </si>
  <si>
    <t>fin_lectura(1)</t>
  </si>
  <si>
    <t>fin_lectura(2)</t>
  </si>
  <si>
    <t>fin_lectura(3)</t>
  </si>
  <si>
    <t>Tiempo de atención devolución</t>
  </si>
  <si>
    <t>fin_atencion_devolucion(1)</t>
  </si>
  <si>
    <t>fin_atencion_devolucion(2)</t>
  </si>
  <si>
    <t>Tiempo de atención consulta</t>
  </si>
  <si>
    <t>fin_atencion_consulta</t>
  </si>
  <si>
    <t>Estado</t>
  </si>
  <si>
    <t>Cola</t>
  </si>
  <si>
    <t>AC Tiempo ocioso de empleados</t>
  </si>
  <si>
    <t>AC tiempo de permanencia</t>
  </si>
  <si>
    <t>AC clientes (clientes leyendo)</t>
  </si>
  <si>
    <t>Hora llegada</t>
  </si>
  <si>
    <t>Tiempo de atención</t>
  </si>
  <si>
    <t>Fin_lectura(1)</t>
  </si>
  <si>
    <t>Tiempo de Atención</t>
  </si>
  <si>
    <t>Fin_lectura(2)</t>
  </si>
  <si>
    <t>Fin_lectura(3)</t>
  </si>
  <si>
    <t>Fin_lectura(4)</t>
  </si>
  <si>
    <t>Fin_lectura(5)</t>
  </si>
  <si>
    <t>Fin_lectura(6)</t>
  </si>
  <si>
    <t>Fin_lectura(7)</t>
  </si>
  <si>
    <t>Fin_lectura(8)</t>
  </si>
  <si>
    <t>Fin_lectura(9)</t>
  </si>
  <si>
    <t>Fin_lectura(10)</t>
  </si>
  <si>
    <t>Fin_lectura(11)</t>
  </si>
  <si>
    <t>Fin_lectura(13)</t>
  </si>
  <si>
    <t>Fin_lectura(14)</t>
  </si>
  <si>
    <t>Fin_lectura(15)</t>
  </si>
  <si>
    <t>Fin_lectura(16)</t>
  </si>
  <si>
    <t>Fin_lectura(17)</t>
  </si>
  <si>
    <t>Inicialización</t>
  </si>
  <si>
    <t>Pedir libro</t>
  </si>
  <si>
    <t>-</t>
  </si>
  <si>
    <t>Libre</t>
  </si>
  <si>
    <t>llegada_cliente(1)</t>
  </si>
  <si>
    <t>Devolver libro</t>
  </si>
  <si>
    <t>Ocupado</t>
  </si>
  <si>
    <t>SA</t>
  </si>
  <si>
    <t>llegada_cliente(2)</t>
  </si>
  <si>
    <t>No</t>
  </si>
  <si>
    <t xml:space="preserve"> -</t>
  </si>
  <si>
    <t>llegada_cliente(3)</t>
  </si>
  <si>
    <t>fin_atencion_consulta(3)</t>
  </si>
  <si>
    <t>llegada_cliente(4)</t>
  </si>
  <si>
    <t>llegada_cliente(5)</t>
  </si>
  <si>
    <t>fin_atencion_alquiler(4)</t>
  </si>
  <si>
    <t>Si</t>
  </si>
  <si>
    <t>LE</t>
  </si>
  <si>
    <t>50,79</t>
  </si>
  <si>
    <t>llegada_cliente(6)</t>
  </si>
  <si>
    <t>fin_atencion_devolucion(6)</t>
  </si>
  <si>
    <t>fin_atencion_alquiler(5)</t>
  </si>
  <si>
    <t>57,43</t>
  </si>
  <si>
    <t>llegada_cliente(7)</t>
  </si>
  <si>
    <t>llegada_cliente(8)</t>
  </si>
  <si>
    <t>fin_atencion_alquiler(7)</t>
  </si>
  <si>
    <t>62,66</t>
  </si>
  <si>
    <t>fin_atencion_consulta(8)</t>
  </si>
  <si>
    <t>llegada_cliente(9)</t>
  </si>
  <si>
    <t>llegada_cliente(10)</t>
  </si>
  <si>
    <t>fin_atencion_devolucion(10)</t>
  </si>
  <si>
    <t>llegada_cliente(11)</t>
  </si>
  <si>
    <t>llegada_cliente(12)</t>
  </si>
  <si>
    <t>EA</t>
  </si>
  <si>
    <t>fin_atencion_alquiler(9)</t>
  </si>
  <si>
    <t>fin_lectura_cliente(4)</t>
  </si>
  <si>
    <t>fin_atencion_consulta(12)</t>
  </si>
  <si>
    <t>llegada_cliente(13)</t>
  </si>
  <si>
    <t>fin_atencion_devolucion(13)</t>
  </si>
  <si>
    <t>llegada_cliente(14)</t>
  </si>
  <si>
    <t>fin_atencion_alquiler(11)</t>
  </si>
  <si>
    <t>57.49</t>
  </si>
  <si>
    <t>86,10</t>
  </si>
  <si>
    <t>fin_lectura_cliente(5)</t>
  </si>
  <si>
    <t>fin_atencion_alquiler(14)</t>
  </si>
  <si>
    <t>llegada_cliente(15)</t>
  </si>
  <si>
    <t>fin_lectura_cliente(7)</t>
  </si>
  <si>
    <t>llegada_cliente(16)</t>
  </si>
  <si>
    <t>35.20</t>
  </si>
  <si>
    <t>fin_atencion_consulta(15)</t>
  </si>
  <si>
    <t>fin_atencion_devolucion(16)</t>
  </si>
  <si>
    <t>llegada_cliente(17)</t>
  </si>
  <si>
    <t>Pedir Libro</t>
  </si>
  <si>
    <t>fin_atencion_alquiler(17)</t>
  </si>
  <si>
    <t>SI</t>
  </si>
  <si>
    <t>101,27</t>
  </si>
  <si>
    <t>llegada_cliente(18)</t>
  </si>
  <si>
    <t>Devolver Libro</t>
  </si>
  <si>
    <t>fin_atencion_devolucion(18)</t>
  </si>
  <si>
    <t>Eventos</t>
  </si>
  <si>
    <t>llegada_entrega</t>
  </si>
  <si>
    <t>llegada_alquiler</t>
  </si>
  <si>
    <t>fin_atencion_cliente_entrega</t>
  </si>
  <si>
    <t>fin_atencion_cliente_alquiler</t>
  </si>
  <si>
    <t>Objetos</t>
  </si>
  <si>
    <t>Tipo</t>
  </si>
  <si>
    <t>Atributos</t>
  </si>
  <si>
    <t>Cliente</t>
  </si>
  <si>
    <t>Temporal</t>
  </si>
  <si>
    <t>SA (Siendo Atendido)
LE (Leyendo)</t>
  </si>
  <si>
    <t>Empleado 1</t>
  </si>
  <si>
    <t>Permanente</t>
  </si>
  <si>
    <t>Libre / Ocupado</t>
  </si>
  <si>
    <t>Empleado 2</t>
  </si>
  <si>
    <t>Variables aleatorias</t>
  </si>
  <si>
    <t>Distribución</t>
  </si>
  <si>
    <t>Fórmula utilizada</t>
  </si>
  <si>
    <t>Objetivo de cliente</t>
  </si>
  <si>
    <t>Discreta: 45% Alquila, 45% Devuelve y 10% Consulta</t>
  </si>
  <si>
    <t>Usar RANDBETWEEN(1,100): 1-45 Alquila, 46-89 Devuelve y 90-99 Consulta</t>
  </si>
  <si>
    <t>Tiempo de atención Préstamo</t>
  </si>
  <si>
    <t>(menos) 6 x LN(1 - RND)</t>
  </si>
  <si>
    <t>Tiempo de atención Devolución</t>
  </si>
  <si>
    <t>U(1,30 ; 2,30)</t>
  </si>
  <si>
    <t>1,30 + RND*(2,30 - 1,30)</t>
  </si>
  <si>
    <t>Tiempo de atención Consulta</t>
  </si>
  <si>
    <t>2 + RND*(5 - 2)</t>
  </si>
  <si>
    <t>Colas</t>
  </si>
  <si>
    <t>Características</t>
  </si>
  <si>
    <t>Cola de clientes</t>
  </si>
  <si>
    <t>FIFO, atendida por cualquier empleado 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</si>
</sst>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rgb="FF6D9EEB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2" fontId="1" fillId="0" borderId="0" xfId="0" applyNumberFormat="1" applyFont="1"/>
    <xf numFmtId="0" fontId="2" fillId="0" borderId="0" xfId="0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3" fillId="0" borderId="0" xfId="0" applyFont="1"/>
    <xf numFmtId="2" fontId="3" fillId="0" borderId="0" xfId="0" applyNumberFormat="1" applyFont="1"/>
    <xf numFmtId="0" fontId="3" fillId="5" borderId="14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2" fontId="3" fillId="4" borderId="19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2" fontId="3" fillId="0" borderId="20" xfId="0" applyNumberFormat="1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2" fontId="3" fillId="0" borderId="21" xfId="0" applyNumberFormat="1" applyFont="1" applyBorder="1" applyAlignment="1">
      <alignment horizontal="center" wrapText="1"/>
    </xf>
    <xf numFmtId="0" fontId="5" fillId="0" borderId="20" xfId="0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3" fillId="9" borderId="20" xfId="0" applyFont="1" applyFill="1" applyBorder="1"/>
    <xf numFmtId="0" fontId="1" fillId="10" borderId="14" xfId="0" applyFont="1" applyFill="1" applyBorder="1"/>
    <xf numFmtId="0" fontId="3" fillId="11" borderId="20" xfId="0" applyFont="1" applyFill="1" applyBorder="1"/>
    <xf numFmtId="0" fontId="1" fillId="7" borderId="14" xfId="0" applyFont="1" applyFill="1" applyBorder="1"/>
    <xf numFmtId="0" fontId="3" fillId="12" borderId="20" xfId="0" applyFont="1" applyFill="1" applyBorder="1"/>
    <xf numFmtId="0" fontId="1" fillId="3" borderId="14" xfId="0" applyFont="1" applyFill="1" applyBorder="1"/>
    <xf numFmtId="0" fontId="3" fillId="13" borderId="20" xfId="0" applyFont="1" applyFill="1" applyBorder="1"/>
    <xf numFmtId="0" fontId="2" fillId="14" borderId="0" xfId="0" applyFont="1" applyFill="1"/>
    <xf numFmtId="0" fontId="3" fillId="4" borderId="16" xfId="0" applyFont="1" applyFill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2" fontId="3" fillId="4" borderId="16" xfId="0" applyNumberFormat="1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0" fillId="0" borderId="0" xfId="0"/>
    <xf numFmtId="0" fontId="3" fillId="4" borderId="11" xfId="0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3" fillId="5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4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6181725" cy="3676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2095500</xdr:colOff>
      <xdr:row>2</xdr:row>
      <xdr:rowOff>142875</xdr:rowOff>
    </xdr:from>
    <xdr:ext cx="4333875" cy="1390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0"/>
  <sheetViews>
    <sheetView tabSelected="1" topLeftCell="K25" zoomScale="80" zoomScaleNormal="80" workbookViewId="0">
      <selection activeCell="AC53" sqref="AC53"/>
    </sheetView>
  </sheetViews>
  <sheetFormatPr baseColWidth="10" defaultColWidth="14.42578125" defaultRowHeight="15" customHeight="1"/>
  <cols>
    <col min="1" max="2" width="8.7109375" customWidth="1"/>
    <col min="3" max="3" width="26" customWidth="1"/>
    <col min="4" max="4" width="10.28515625" customWidth="1"/>
    <col min="5" max="5" width="22.5703125" customWidth="1"/>
    <col min="6" max="6" width="9.140625" customWidth="1"/>
    <col min="7" max="7" width="8.7109375" customWidth="1"/>
    <col min="8" max="8" width="13.42578125" customWidth="1"/>
    <col min="9" max="9" width="21.28515625" customWidth="1"/>
    <col min="10" max="10" width="14.42578125" customWidth="1"/>
    <col min="11" max="11" width="20.5703125" customWidth="1"/>
    <col min="12" max="17" width="13.42578125" customWidth="1"/>
    <col min="18" max="18" width="8.7109375" customWidth="1"/>
    <col min="19" max="19" width="24.140625" customWidth="1"/>
    <col min="20" max="21" width="25" customWidth="1"/>
    <col min="22" max="22" width="8.7109375" customWidth="1"/>
    <col min="23" max="23" width="11" customWidth="1"/>
    <col min="24" max="24" width="12.85546875" customWidth="1"/>
    <col min="25" max="25" width="11.7109375" customWidth="1"/>
    <col min="26" max="26" width="14.5703125" customWidth="1"/>
    <col min="27" max="27" width="8.7109375" customWidth="1"/>
    <col min="28" max="30" width="13.42578125" customWidth="1"/>
    <col min="31" max="31" width="8.7109375" customWidth="1"/>
    <col min="32" max="33" width="11.28515625" customWidth="1"/>
    <col min="34" max="34" width="15.28515625" customWidth="1"/>
    <col min="35" max="36" width="9.140625" customWidth="1"/>
    <col min="37" max="37" width="12" customWidth="1"/>
    <col min="38" max="38" width="13" customWidth="1"/>
    <col min="39" max="41" width="9.140625" customWidth="1"/>
    <col min="42" max="42" width="11.28515625" customWidth="1"/>
    <col min="43" max="45" width="9.140625" customWidth="1"/>
    <col min="46" max="46" width="14.5703125" customWidth="1"/>
    <col min="47" max="48" width="9.140625" customWidth="1"/>
    <col min="49" max="49" width="11.42578125" customWidth="1"/>
    <col min="50" max="50" width="14.42578125" customWidth="1"/>
    <col min="51" max="52" width="8.7109375" customWidth="1"/>
    <col min="53" max="53" width="11.42578125" customWidth="1"/>
    <col min="54" max="54" width="13.7109375" customWidth="1"/>
    <col min="55" max="56" width="8.7109375" customWidth="1"/>
    <col min="57" max="58" width="14.5703125" customWidth="1"/>
    <col min="59" max="60" width="8.7109375" customWidth="1"/>
    <col min="61" max="62" width="13.140625" customWidth="1"/>
    <col min="63" max="64" width="8.7109375" customWidth="1"/>
    <col min="65" max="65" width="11.85546875" customWidth="1"/>
    <col min="66" max="66" width="14.42578125" customWidth="1"/>
    <col min="67" max="100" width="8.7109375" customWidth="1"/>
  </cols>
  <sheetData>
    <row r="1" spans="4:100">
      <c r="D1" s="1"/>
      <c r="E1" s="1"/>
      <c r="F1" s="1"/>
      <c r="J1" s="1"/>
      <c r="K1" s="2"/>
      <c r="AB1" s="1"/>
      <c r="AC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BI1" s="55"/>
      <c r="BJ1" s="56"/>
      <c r="BK1" s="56"/>
      <c r="BL1" s="56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</row>
    <row r="2" spans="4:100">
      <c r="D2" s="1"/>
      <c r="E2" s="1"/>
      <c r="F2" s="1"/>
      <c r="J2" s="1"/>
      <c r="K2" s="2"/>
      <c r="AB2" s="1"/>
      <c r="AC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BI2" s="4"/>
      <c r="BJ2" s="4"/>
      <c r="BK2" s="4"/>
      <c r="BL2" s="4"/>
      <c r="BM2" s="55"/>
      <c r="BN2" s="56"/>
      <c r="BO2" s="56"/>
      <c r="BP2" s="56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</row>
    <row r="3" spans="4:100">
      <c r="D3" s="1"/>
      <c r="E3" s="1"/>
      <c r="F3" s="1"/>
      <c r="J3" s="1"/>
      <c r="K3" s="2"/>
      <c r="AB3" s="1"/>
      <c r="AC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BI3" s="5"/>
      <c r="BJ3" s="5"/>
      <c r="BK3" s="5"/>
      <c r="BL3" s="5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4:100">
      <c r="D4" s="1"/>
      <c r="E4" s="1"/>
      <c r="F4" s="1"/>
      <c r="J4" s="1"/>
      <c r="K4" s="2"/>
      <c r="AB4" s="1"/>
      <c r="AC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 spans="4:100">
      <c r="D5" s="1"/>
      <c r="E5" s="1"/>
      <c r="F5" s="1"/>
      <c r="J5" s="1"/>
      <c r="K5" s="2"/>
      <c r="AB5" s="1"/>
      <c r="AC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 spans="4:100">
      <c r="D6" s="1"/>
      <c r="E6" s="1"/>
      <c r="F6" s="1"/>
      <c r="I6" s="7" t="s">
        <v>0</v>
      </c>
      <c r="J6" s="8" t="s">
        <v>1</v>
      </c>
      <c r="K6" s="9" t="s">
        <v>2</v>
      </c>
      <c r="AB6" s="1"/>
      <c r="AC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</row>
    <row r="7" spans="4:100">
      <c r="D7" s="1"/>
      <c r="E7" s="1"/>
      <c r="F7" s="1"/>
      <c r="I7" s="10" t="s">
        <v>3</v>
      </c>
      <c r="J7" s="11">
        <v>0.45</v>
      </c>
      <c r="K7" s="12">
        <v>0.45</v>
      </c>
      <c r="AB7" s="1"/>
      <c r="AC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</row>
    <row r="8" spans="4:100">
      <c r="D8" s="1"/>
      <c r="E8" s="1"/>
      <c r="F8" s="1"/>
      <c r="I8" s="10" t="s">
        <v>4</v>
      </c>
      <c r="J8" s="11">
        <v>0.45</v>
      </c>
      <c r="K8" s="12">
        <v>0.9</v>
      </c>
      <c r="AB8" s="1"/>
      <c r="AC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</row>
    <row r="9" spans="4:100">
      <c r="D9" s="1"/>
      <c r="E9" s="1"/>
      <c r="F9" s="1"/>
      <c r="I9" s="13" t="s">
        <v>5</v>
      </c>
      <c r="J9" s="14">
        <v>0.1</v>
      </c>
      <c r="K9" s="15">
        <v>1</v>
      </c>
      <c r="AB9" s="1"/>
      <c r="AC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</row>
    <row r="10" spans="4:100">
      <c r="D10" s="1"/>
      <c r="E10" s="1"/>
      <c r="F10" s="1"/>
      <c r="J10" s="1"/>
      <c r="K10" s="2"/>
      <c r="AB10" s="1"/>
      <c r="AC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</row>
    <row r="11" spans="4:100">
      <c r="D11" s="1"/>
      <c r="E11" s="1"/>
      <c r="F11" s="1"/>
      <c r="J11" s="1"/>
      <c r="K11" s="2"/>
      <c r="AB11" s="1"/>
      <c r="AC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</row>
    <row r="12" spans="4:100">
      <c r="D12" s="1"/>
      <c r="E12" s="1"/>
      <c r="F12" s="1"/>
      <c r="I12" s="16" t="s">
        <v>6</v>
      </c>
      <c r="J12" s="17" t="s">
        <v>7</v>
      </c>
      <c r="K12" s="2"/>
      <c r="AB12" s="1"/>
      <c r="AC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</row>
    <row r="13" spans="4:100">
      <c r="D13" s="1"/>
      <c r="E13" s="1"/>
      <c r="F13" s="1"/>
      <c r="I13" s="18" t="s">
        <v>8</v>
      </c>
      <c r="J13" s="19" t="s">
        <v>9</v>
      </c>
      <c r="K13" s="2"/>
      <c r="AB13" s="1"/>
      <c r="AC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 spans="4:100">
      <c r="D14" s="1"/>
      <c r="E14" s="1"/>
      <c r="F14" s="1"/>
      <c r="I14" s="20" t="s">
        <v>10</v>
      </c>
      <c r="J14" s="21" t="s">
        <v>11</v>
      </c>
      <c r="K14" s="2"/>
      <c r="AB14" s="1"/>
      <c r="AC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</row>
    <row r="15" spans="4:100">
      <c r="D15" s="1"/>
      <c r="E15" s="1"/>
      <c r="F15" s="1"/>
      <c r="J15" s="1"/>
      <c r="K15" s="2"/>
      <c r="AB15" s="1"/>
      <c r="AC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 spans="4:100">
      <c r="D16" s="1"/>
      <c r="E16" s="1"/>
      <c r="F16" s="1"/>
      <c r="J16" s="1"/>
      <c r="K16" s="2"/>
      <c r="AB16" s="1"/>
      <c r="AC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</row>
    <row r="17" spans="1:100">
      <c r="D17" s="1"/>
      <c r="E17" s="1"/>
      <c r="F17" s="1"/>
      <c r="J17" s="1"/>
      <c r="K17" s="2"/>
      <c r="AB17" s="1"/>
      <c r="AC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</row>
    <row r="18" spans="1:100">
      <c r="D18" s="1"/>
      <c r="E18" s="1"/>
      <c r="F18" s="1"/>
      <c r="J18" s="1"/>
      <c r="K18" s="2"/>
      <c r="AB18" s="1"/>
      <c r="AC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100">
      <c r="D19" s="1"/>
      <c r="E19" s="1"/>
      <c r="F19" s="1"/>
      <c r="J19" s="1"/>
      <c r="K19" s="2"/>
      <c r="AB19" s="1"/>
      <c r="AC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100">
      <c r="D20" s="1"/>
      <c r="E20" s="1"/>
      <c r="F20" s="1"/>
      <c r="J20" s="1"/>
      <c r="K20" s="2"/>
      <c r="AB20" s="1"/>
      <c r="AC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100" ht="15.75" customHeight="1">
      <c r="D21" s="1"/>
      <c r="E21" s="1"/>
      <c r="F21" s="1"/>
      <c r="J21" s="1"/>
      <c r="K21" s="2"/>
      <c r="AB21" s="1"/>
      <c r="AC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100" ht="15.75" customHeight="1">
      <c r="D22" s="1"/>
      <c r="E22" s="1"/>
      <c r="F22" s="1"/>
      <c r="J22" s="1"/>
      <c r="K22" s="2"/>
      <c r="AB22" s="1"/>
      <c r="AC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100" ht="15.75" customHeight="1">
      <c r="D23" s="1"/>
      <c r="E23" s="1"/>
      <c r="F23" s="1"/>
      <c r="J23" s="1"/>
      <c r="K23" s="2"/>
      <c r="AB23" s="1"/>
      <c r="AC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100" ht="15.75" customHeight="1">
      <c r="A24" s="22"/>
      <c r="B24" s="22"/>
      <c r="C24" s="22"/>
      <c r="D24" s="23"/>
      <c r="E24" s="57" t="s">
        <v>12</v>
      </c>
      <c r="F24" s="58"/>
      <c r="G24" s="58"/>
      <c r="H24" s="59"/>
      <c r="I24" s="60" t="s">
        <v>13</v>
      </c>
      <c r="J24" s="58"/>
      <c r="K24" s="58"/>
      <c r="L24" s="58"/>
      <c r="M24" s="58"/>
      <c r="N24" s="58"/>
      <c r="O24" s="58"/>
      <c r="P24" s="59"/>
      <c r="Q24" s="24"/>
      <c r="R24" s="61" t="s">
        <v>14</v>
      </c>
      <c r="S24" s="58"/>
      <c r="T24" s="58"/>
      <c r="U24" s="59"/>
      <c r="V24" s="62" t="s">
        <v>15</v>
      </c>
      <c r="W24" s="58"/>
      <c r="X24" s="59"/>
      <c r="Y24" s="25" t="s">
        <v>16</v>
      </c>
      <c r="Z24" s="25" t="s">
        <v>17</v>
      </c>
      <c r="AA24" s="63" t="s">
        <v>18</v>
      </c>
      <c r="AB24" s="58"/>
      <c r="AC24" s="58"/>
      <c r="AD24" s="64"/>
      <c r="AE24" s="51" t="s">
        <v>19</v>
      </c>
      <c r="AF24" s="52"/>
      <c r="AG24" s="52"/>
      <c r="AH24" s="53"/>
      <c r="AI24" s="54" t="s">
        <v>20</v>
      </c>
      <c r="AJ24" s="52"/>
      <c r="AK24" s="52"/>
      <c r="AL24" s="53"/>
      <c r="AM24" s="54" t="s">
        <v>21</v>
      </c>
      <c r="AN24" s="52"/>
      <c r="AO24" s="52"/>
      <c r="AP24" s="53"/>
      <c r="AQ24" s="54" t="s">
        <v>22</v>
      </c>
      <c r="AR24" s="52"/>
      <c r="AS24" s="53"/>
      <c r="AT24" s="26"/>
      <c r="AU24" s="54" t="s">
        <v>23</v>
      </c>
      <c r="AV24" s="52"/>
      <c r="AW24" s="53"/>
      <c r="AX24" s="26"/>
      <c r="AY24" s="54" t="s">
        <v>24</v>
      </c>
      <c r="AZ24" s="52"/>
      <c r="BA24" s="53"/>
      <c r="BB24" s="26"/>
      <c r="BC24" s="54" t="s">
        <v>25</v>
      </c>
      <c r="BD24" s="52"/>
      <c r="BE24" s="53"/>
      <c r="BF24" s="26"/>
      <c r="BG24" s="54" t="s">
        <v>26</v>
      </c>
      <c r="BH24" s="52"/>
      <c r="BI24" s="53"/>
      <c r="BJ24" s="26"/>
      <c r="BK24" s="54" t="s">
        <v>27</v>
      </c>
      <c r="BL24" s="52"/>
      <c r="BM24" s="53"/>
      <c r="BN24" s="26"/>
      <c r="BO24" s="54" t="s">
        <v>28</v>
      </c>
      <c r="BP24" s="52"/>
      <c r="BQ24" s="53"/>
      <c r="BR24" s="26"/>
      <c r="BS24" s="54" t="s">
        <v>29</v>
      </c>
      <c r="BT24" s="52"/>
      <c r="BU24" s="53"/>
      <c r="BV24" s="26"/>
      <c r="BW24" s="54" t="s">
        <v>30</v>
      </c>
      <c r="BX24" s="52"/>
      <c r="BY24" s="53"/>
      <c r="BZ24" s="54" t="s">
        <v>31</v>
      </c>
      <c r="CA24" s="52"/>
      <c r="CB24" s="53"/>
      <c r="CC24" s="26"/>
      <c r="CD24" s="54" t="s">
        <v>32</v>
      </c>
      <c r="CE24" s="52"/>
      <c r="CF24" s="53"/>
      <c r="CG24" s="26"/>
      <c r="CH24" s="54" t="s">
        <v>33</v>
      </c>
      <c r="CI24" s="52"/>
      <c r="CJ24" s="53"/>
      <c r="CK24" s="26"/>
      <c r="CL24" s="54" t="s">
        <v>34</v>
      </c>
      <c r="CM24" s="52"/>
      <c r="CN24" s="53"/>
      <c r="CO24" s="26"/>
      <c r="CP24" s="54" t="s">
        <v>35</v>
      </c>
      <c r="CQ24" s="52"/>
      <c r="CR24" s="53"/>
      <c r="CS24" s="26"/>
      <c r="CT24" s="54" t="s">
        <v>36</v>
      </c>
      <c r="CU24" s="52"/>
      <c r="CV24" s="53"/>
    </row>
    <row r="25" spans="1:100" ht="55.5" customHeight="1">
      <c r="A25" s="27"/>
      <c r="B25" s="27" t="s">
        <v>37</v>
      </c>
      <c r="C25" s="27" t="s">
        <v>38</v>
      </c>
      <c r="D25" s="28" t="s">
        <v>39</v>
      </c>
      <c r="E25" s="28" t="s">
        <v>40</v>
      </c>
      <c r="F25" s="28" t="s">
        <v>41</v>
      </c>
      <c r="G25" s="27" t="s">
        <v>42</v>
      </c>
      <c r="H25" s="27" t="s">
        <v>43</v>
      </c>
      <c r="I25" s="29" t="s">
        <v>44</v>
      </c>
      <c r="J25" s="30" t="s">
        <v>45</v>
      </c>
      <c r="K25" s="29" t="s">
        <v>46</v>
      </c>
      <c r="L25" s="29" t="s">
        <v>47</v>
      </c>
      <c r="M25" s="27" t="s">
        <v>48</v>
      </c>
      <c r="N25" s="27" t="s">
        <v>49</v>
      </c>
      <c r="O25" s="27" t="s">
        <v>50</v>
      </c>
      <c r="P25" s="27" t="s">
        <v>51</v>
      </c>
      <c r="Q25" s="27" t="s">
        <v>52</v>
      </c>
      <c r="R25" s="27" t="s">
        <v>44</v>
      </c>
      <c r="S25" s="27" t="s">
        <v>53</v>
      </c>
      <c r="T25" s="27" t="s">
        <v>54</v>
      </c>
      <c r="U25" s="27" t="s">
        <v>55</v>
      </c>
      <c r="V25" s="27" t="s">
        <v>44</v>
      </c>
      <c r="W25" s="27" t="s">
        <v>56</v>
      </c>
      <c r="X25" s="27" t="s">
        <v>57</v>
      </c>
      <c r="Y25" s="27" t="s">
        <v>58</v>
      </c>
      <c r="Z25" s="27" t="s">
        <v>58</v>
      </c>
      <c r="AA25" s="27" t="s">
        <v>59</v>
      </c>
      <c r="AB25" s="28" t="s">
        <v>60</v>
      </c>
      <c r="AC25" s="28" t="s">
        <v>61</v>
      </c>
      <c r="AD25" s="27" t="s">
        <v>62</v>
      </c>
      <c r="AE25" s="29" t="s">
        <v>58</v>
      </c>
      <c r="AF25" s="30" t="s">
        <v>63</v>
      </c>
      <c r="AG25" s="30" t="s">
        <v>64</v>
      </c>
      <c r="AH25" s="30" t="s">
        <v>65</v>
      </c>
      <c r="AI25" s="28" t="s">
        <v>58</v>
      </c>
      <c r="AJ25" s="28" t="s">
        <v>63</v>
      </c>
      <c r="AK25" s="28" t="s">
        <v>66</v>
      </c>
      <c r="AL25" s="28" t="s">
        <v>67</v>
      </c>
      <c r="AM25" s="30" t="s">
        <v>58</v>
      </c>
      <c r="AN25" s="30" t="s">
        <v>63</v>
      </c>
      <c r="AO25" s="30" t="s">
        <v>66</v>
      </c>
      <c r="AP25" s="30" t="s">
        <v>68</v>
      </c>
      <c r="AQ25" s="28" t="s">
        <v>58</v>
      </c>
      <c r="AR25" s="28" t="s">
        <v>63</v>
      </c>
      <c r="AS25" s="28" t="s">
        <v>66</v>
      </c>
      <c r="AT25" s="28" t="s">
        <v>69</v>
      </c>
      <c r="AU25" s="28" t="s">
        <v>58</v>
      </c>
      <c r="AV25" s="28" t="s">
        <v>63</v>
      </c>
      <c r="AW25" s="28" t="s">
        <v>66</v>
      </c>
      <c r="AX25" s="28" t="s">
        <v>70</v>
      </c>
      <c r="AY25" s="28" t="s">
        <v>58</v>
      </c>
      <c r="AZ25" s="28" t="s">
        <v>63</v>
      </c>
      <c r="BA25" s="28" t="s">
        <v>66</v>
      </c>
      <c r="BB25" s="28" t="s">
        <v>71</v>
      </c>
      <c r="BC25" s="28" t="s">
        <v>58</v>
      </c>
      <c r="BD25" s="28" t="s">
        <v>63</v>
      </c>
      <c r="BE25" s="28" t="s">
        <v>66</v>
      </c>
      <c r="BF25" s="28" t="s">
        <v>72</v>
      </c>
      <c r="BG25" s="28" t="s">
        <v>58</v>
      </c>
      <c r="BH25" s="28" t="s">
        <v>63</v>
      </c>
      <c r="BI25" s="28" t="s">
        <v>66</v>
      </c>
      <c r="BJ25" s="28" t="s">
        <v>73</v>
      </c>
      <c r="BK25" s="28" t="s">
        <v>58</v>
      </c>
      <c r="BL25" s="28" t="s">
        <v>63</v>
      </c>
      <c r="BM25" s="28" t="s">
        <v>66</v>
      </c>
      <c r="BN25" s="28" t="s">
        <v>74</v>
      </c>
      <c r="BO25" s="28" t="s">
        <v>58</v>
      </c>
      <c r="BP25" s="28" t="s">
        <v>63</v>
      </c>
      <c r="BQ25" s="28" t="s">
        <v>66</v>
      </c>
      <c r="BR25" s="28" t="s">
        <v>75</v>
      </c>
      <c r="BS25" s="28" t="s">
        <v>58</v>
      </c>
      <c r="BT25" s="28" t="s">
        <v>63</v>
      </c>
      <c r="BU25" s="28" t="s">
        <v>66</v>
      </c>
      <c r="BV25" s="28" t="s">
        <v>76</v>
      </c>
      <c r="BW25" s="28" t="s">
        <v>58</v>
      </c>
      <c r="BX25" s="28" t="s">
        <v>63</v>
      </c>
      <c r="BY25" s="28" t="s">
        <v>66</v>
      </c>
      <c r="BZ25" s="28" t="s">
        <v>58</v>
      </c>
      <c r="CA25" s="28" t="s">
        <v>63</v>
      </c>
      <c r="CB25" s="28" t="s">
        <v>66</v>
      </c>
      <c r="CC25" s="28" t="s">
        <v>77</v>
      </c>
      <c r="CD25" s="28" t="s">
        <v>58</v>
      </c>
      <c r="CE25" s="28" t="s">
        <v>63</v>
      </c>
      <c r="CF25" s="28" t="s">
        <v>66</v>
      </c>
      <c r="CG25" s="28" t="s">
        <v>78</v>
      </c>
      <c r="CH25" s="28" t="s">
        <v>58</v>
      </c>
      <c r="CI25" s="28" t="s">
        <v>63</v>
      </c>
      <c r="CJ25" s="28" t="s">
        <v>66</v>
      </c>
      <c r="CK25" s="28" t="s">
        <v>79</v>
      </c>
      <c r="CL25" s="28" t="s">
        <v>58</v>
      </c>
      <c r="CM25" s="28" t="s">
        <v>63</v>
      </c>
      <c r="CN25" s="28" t="s">
        <v>66</v>
      </c>
      <c r="CO25" s="28" t="s">
        <v>80</v>
      </c>
      <c r="CP25" s="28" t="s">
        <v>58</v>
      </c>
      <c r="CQ25" s="28" t="s">
        <v>63</v>
      </c>
      <c r="CR25" s="28" t="s">
        <v>66</v>
      </c>
      <c r="CS25" s="28" t="s">
        <v>81</v>
      </c>
      <c r="CT25" s="28" t="s">
        <v>58</v>
      </c>
      <c r="CU25" s="28" t="s">
        <v>63</v>
      </c>
      <c r="CV25" s="28" t="s">
        <v>66</v>
      </c>
    </row>
    <row r="26" spans="1:100" ht="20.25" customHeight="1">
      <c r="A26" s="31"/>
      <c r="B26" s="31">
        <v>1</v>
      </c>
      <c r="C26" s="31" t="s">
        <v>82</v>
      </c>
      <c r="D26" s="32">
        <v>0</v>
      </c>
      <c r="E26" s="32">
        <v>4</v>
      </c>
      <c r="F26" s="32">
        <f t="shared" ref="F26:F27" si="0">D26+E26</f>
        <v>4</v>
      </c>
      <c r="G26" s="32">
        <v>0.22</v>
      </c>
      <c r="H26" s="32" t="s">
        <v>83</v>
      </c>
      <c r="I26" s="31" t="s">
        <v>84</v>
      </c>
      <c r="J26" s="32" t="s">
        <v>84</v>
      </c>
      <c r="K26" s="32" t="s">
        <v>84</v>
      </c>
      <c r="L26" s="31"/>
      <c r="M26" s="31" t="s">
        <v>84</v>
      </c>
      <c r="N26" s="31" t="s">
        <v>84</v>
      </c>
      <c r="O26" s="31" t="s">
        <v>84</v>
      </c>
      <c r="P26" s="31" t="s">
        <v>84</v>
      </c>
      <c r="Q26" s="31" t="s">
        <v>84</v>
      </c>
      <c r="R26" s="31" t="s">
        <v>84</v>
      </c>
      <c r="S26" s="31" t="s">
        <v>84</v>
      </c>
      <c r="T26" s="31" t="s">
        <v>84</v>
      </c>
      <c r="U26" s="31"/>
      <c r="V26" s="31" t="s">
        <v>84</v>
      </c>
      <c r="W26" s="31" t="s">
        <v>84</v>
      </c>
      <c r="X26" s="31" t="s">
        <v>84</v>
      </c>
      <c r="Y26" s="31" t="s">
        <v>85</v>
      </c>
      <c r="Z26" s="31" t="s">
        <v>85</v>
      </c>
      <c r="AA26" s="31">
        <v>0</v>
      </c>
      <c r="AB26" s="32">
        <v>0</v>
      </c>
      <c r="AC26" s="32">
        <v>0</v>
      </c>
      <c r="AD26" s="31">
        <v>0</v>
      </c>
      <c r="AE26" s="31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</row>
    <row r="27" spans="1:100" ht="15.75" customHeight="1">
      <c r="A27" s="33"/>
      <c r="B27" s="33">
        <v>2</v>
      </c>
      <c r="C27" s="33" t="s">
        <v>86</v>
      </c>
      <c r="D27" s="34">
        <v>4</v>
      </c>
      <c r="E27" s="34">
        <v>4</v>
      </c>
      <c r="F27" s="35">
        <f t="shared" si="0"/>
        <v>8</v>
      </c>
      <c r="G27" s="33">
        <v>0.88</v>
      </c>
      <c r="H27" s="33" t="s">
        <v>87</v>
      </c>
      <c r="I27" s="33">
        <v>0.56999999999999995</v>
      </c>
      <c r="J27" s="34">
        <f>-6*LN(1-I27)</f>
        <v>5.063820421767173</v>
      </c>
      <c r="K27" s="34">
        <f>D27+J27</f>
        <v>9.0638204217671721</v>
      </c>
      <c r="L27" s="33"/>
      <c r="M27" s="33" t="s">
        <v>84</v>
      </c>
      <c r="N27" s="33" t="s">
        <v>84</v>
      </c>
      <c r="O27" s="33" t="s">
        <v>84</v>
      </c>
      <c r="P27" s="33" t="s">
        <v>84</v>
      </c>
      <c r="Q27" s="33" t="s">
        <v>84</v>
      </c>
      <c r="R27" s="33" t="s">
        <v>84</v>
      </c>
      <c r="S27" s="33" t="s">
        <v>84</v>
      </c>
      <c r="T27" s="33" t="s">
        <v>84</v>
      </c>
      <c r="U27" s="33" t="s">
        <v>84</v>
      </c>
      <c r="V27" s="33" t="s">
        <v>84</v>
      </c>
      <c r="W27" s="33" t="s">
        <v>84</v>
      </c>
      <c r="X27" s="33" t="s">
        <v>84</v>
      </c>
      <c r="Y27" s="33" t="s">
        <v>88</v>
      </c>
      <c r="Z27" s="33" t="s">
        <v>85</v>
      </c>
      <c r="AA27" s="33">
        <v>0</v>
      </c>
      <c r="AB27" s="34">
        <f>D27-D26</f>
        <v>4</v>
      </c>
      <c r="AC27" s="34">
        <v>0</v>
      </c>
      <c r="AD27" s="33">
        <v>0</v>
      </c>
      <c r="AE27" s="33" t="s">
        <v>89</v>
      </c>
      <c r="AF27" s="34">
        <v>4</v>
      </c>
      <c r="AG27" s="34">
        <v>5.0599999999999996</v>
      </c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</row>
    <row r="28" spans="1:100" ht="15.75" customHeight="1">
      <c r="A28" s="33"/>
      <c r="B28" s="33">
        <v>3</v>
      </c>
      <c r="C28" s="33" t="s">
        <v>90</v>
      </c>
      <c r="D28" s="34">
        <v>8</v>
      </c>
      <c r="E28" s="34">
        <v>4</v>
      </c>
      <c r="F28" s="34">
        <v>12</v>
      </c>
      <c r="G28" s="33">
        <v>0.94</v>
      </c>
      <c r="H28" s="33" t="s">
        <v>5</v>
      </c>
      <c r="I28" s="33" t="s">
        <v>84</v>
      </c>
      <c r="J28" s="34" t="s">
        <v>84</v>
      </c>
      <c r="K28" s="36">
        <v>9.06</v>
      </c>
      <c r="L28" s="33"/>
      <c r="M28" s="33" t="s">
        <v>84</v>
      </c>
      <c r="N28" s="33" t="s">
        <v>84</v>
      </c>
      <c r="O28" s="33" t="s">
        <v>84</v>
      </c>
      <c r="P28" s="33" t="s">
        <v>84</v>
      </c>
      <c r="Q28" s="33" t="s">
        <v>84</v>
      </c>
      <c r="R28" s="33">
        <v>0.44</v>
      </c>
      <c r="S28" s="33">
        <f>1.3+R28*(2.3-1.3)</f>
        <v>1.74</v>
      </c>
      <c r="T28" s="34">
        <f>D28+S28</f>
        <v>9.74</v>
      </c>
      <c r="U28" s="33" t="s">
        <v>84</v>
      </c>
      <c r="V28" s="33" t="s">
        <v>84</v>
      </c>
      <c r="W28" s="33" t="s">
        <v>84</v>
      </c>
      <c r="X28" s="33" t="s">
        <v>84</v>
      </c>
      <c r="Y28" s="33" t="s">
        <v>88</v>
      </c>
      <c r="Z28" s="33" t="s">
        <v>88</v>
      </c>
      <c r="AA28" s="33">
        <v>0</v>
      </c>
      <c r="AB28" s="34">
        <v>8</v>
      </c>
      <c r="AC28" s="34">
        <v>4</v>
      </c>
      <c r="AD28" s="33">
        <v>0</v>
      </c>
      <c r="AE28" s="33" t="s">
        <v>89</v>
      </c>
      <c r="AF28" s="34">
        <v>4</v>
      </c>
      <c r="AG28" s="34">
        <v>5.0599999999999996</v>
      </c>
      <c r="AH28" s="34"/>
      <c r="AI28" s="34" t="s">
        <v>89</v>
      </c>
      <c r="AJ28" s="34">
        <v>8</v>
      </c>
      <c r="AK28" s="34">
        <v>1.74</v>
      </c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</row>
    <row r="29" spans="1:100" ht="15.75" customHeight="1">
      <c r="A29" s="33"/>
      <c r="B29" s="33">
        <v>4</v>
      </c>
      <c r="C29" s="33" t="s">
        <v>46</v>
      </c>
      <c r="D29" s="34">
        <v>9.06</v>
      </c>
      <c r="E29" s="34" t="s">
        <v>84</v>
      </c>
      <c r="F29" s="34">
        <v>12</v>
      </c>
      <c r="G29" s="33" t="s">
        <v>84</v>
      </c>
      <c r="H29" s="33" t="s">
        <v>84</v>
      </c>
      <c r="I29" s="33" t="s">
        <v>84</v>
      </c>
      <c r="J29" s="34" t="s">
        <v>84</v>
      </c>
      <c r="K29" s="33" t="s">
        <v>84</v>
      </c>
      <c r="L29" s="33"/>
      <c r="M29" s="33">
        <v>0.42</v>
      </c>
      <c r="N29" s="33" t="s">
        <v>91</v>
      </c>
      <c r="O29" s="33" t="s">
        <v>84</v>
      </c>
      <c r="P29" s="33" t="s">
        <v>84</v>
      </c>
      <c r="Q29" s="33" t="s">
        <v>84</v>
      </c>
      <c r="R29" s="33" t="s">
        <v>84</v>
      </c>
      <c r="S29" s="33" t="s">
        <v>84</v>
      </c>
      <c r="T29" s="36">
        <v>9.74</v>
      </c>
      <c r="U29" s="33" t="s">
        <v>84</v>
      </c>
      <c r="V29" s="33" t="s">
        <v>84</v>
      </c>
      <c r="W29" s="33" t="s">
        <v>84</v>
      </c>
      <c r="X29" s="33" t="s">
        <v>84</v>
      </c>
      <c r="Y29" s="33" t="s">
        <v>85</v>
      </c>
      <c r="Z29" s="33" t="s">
        <v>88</v>
      </c>
      <c r="AA29" s="33">
        <v>0</v>
      </c>
      <c r="AB29" s="34">
        <v>8</v>
      </c>
      <c r="AC29" s="34">
        <v>5.0599999999999996</v>
      </c>
      <c r="AD29" s="33">
        <v>0</v>
      </c>
      <c r="AE29" s="37"/>
      <c r="AF29" s="38"/>
      <c r="AG29" s="34">
        <v>5.0599999999999996</v>
      </c>
      <c r="AH29" s="34"/>
      <c r="AI29" s="34" t="s">
        <v>89</v>
      </c>
      <c r="AJ29" s="34">
        <v>8</v>
      </c>
      <c r="AK29" s="34">
        <v>1.74</v>
      </c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</row>
    <row r="30" spans="1:100" ht="15.75" customHeight="1">
      <c r="A30" s="31"/>
      <c r="B30" s="33">
        <v>5</v>
      </c>
      <c r="C30" s="33" t="s">
        <v>55</v>
      </c>
      <c r="D30" s="34">
        <v>9.74</v>
      </c>
      <c r="E30" s="34" t="s">
        <v>84</v>
      </c>
      <c r="F30" s="35">
        <v>12</v>
      </c>
      <c r="G30" s="33" t="s">
        <v>84</v>
      </c>
      <c r="H30" s="33" t="s">
        <v>84</v>
      </c>
      <c r="I30" s="33" t="s">
        <v>84</v>
      </c>
      <c r="J30" s="34" t="s">
        <v>84</v>
      </c>
      <c r="K30" s="33" t="s">
        <v>84</v>
      </c>
      <c r="L30" s="33"/>
      <c r="M30" s="33" t="s">
        <v>84</v>
      </c>
      <c r="N30" s="33" t="s">
        <v>84</v>
      </c>
      <c r="O30" s="33" t="s">
        <v>84</v>
      </c>
      <c r="P30" s="33" t="s">
        <v>84</v>
      </c>
      <c r="Q30" s="33" t="s">
        <v>84</v>
      </c>
      <c r="R30" s="33" t="s">
        <v>84</v>
      </c>
      <c r="S30" s="33" t="s">
        <v>84</v>
      </c>
      <c r="T30" s="33" t="s">
        <v>92</v>
      </c>
      <c r="U30" s="33" t="s">
        <v>84</v>
      </c>
      <c r="V30" s="33" t="s">
        <v>84</v>
      </c>
      <c r="W30" s="33" t="s">
        <v>84</v>
      </c>
      <c r="X30" s="33" t="s">
        <v>84</v>
      </c>
      <c r="Y30" s="33" t="s">
        <v>85</v>
      </c>
      <c r="Z30" s="33" t="s">
        <v>85</v>
      </c>
      <c r="AA30" s="33">
        <v>0</v>
      </c>
      <c r="AB30" s="34">
        <f t="shared" ref="AB30:AB34" si="1">AB29+(D30-D29)</f>
        <v>8.68</v>
      </c>
      <c r="AC30" s="34">
        <f>AC29+(D30-D29)</f>
        <v>5.7399999999999993</v>
      </c>
      <c r="AD30" s="33">
        <v>0</v>
      </c>
      <c r="AE30" s="33" t="s">
        <v>84</v>
      </c>
      <c r="AF30" s="33" t="s">
        <v>84</v>
      </c>
      <c r="AG30" s="33" t="s">
        <v>84</v>
      </c>
      <c r="AH30" s="38"/>
      <c r="AI30" s="38"/>
      <c r="AJ30" s="38"/>
      <c r="AK30" s="34">
        <v>1.74</v>
      </c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</row>
    <row r="31" spans="1:100" ht="15.75" customHeight="1">
      <c r="A31" s="33"/>
      <c r="B31" s="33">
        <v>6</v>
      </c>
      <c r="C31" s="33" t="s">
        <v>93</v>
      </c>
      <c r="D31" s="34">
        <v>12</v>
      </c>
      <c r="E31" s="34">
        <v>4</v>
      </c>
      <c r="F31" s="34">
        <v>16</v>
      </c>
      <c r="G31" s="33">
        <v>0.34</v>
      </c>
      <c r="H31" s="33" t="s">
        <v>83</v>
      </c>
      <c r="I31" s="33" t="s">
        <v>84</v>
      </c>
      <c r="J31" s="34" t="s">
        <v>84</v>
      </c>
      <c r="K31" s="33" t="s">
        <v>84</v>
      </c>
      <c r="L31" s="33"/>
      <c r="M31" s="33" t="s">
        <v>84</v>
      </c>
      <c r="N31" s="33" t="s">
        <v>84</v>
      </c>
      <c r="O31" s="33" t="s">
        <v>84</v>
      </c>
      <c r="P31" s="33" t="s">
        <v>84</v>
      </c>
      <c r="Q31" s="33" t="s">
        <v>84</v>
      </c>
      <c r="R31" s="33" t="s">
        <v>84</v>
      </c>
      <c r="S31" s="33" t="s">
        <v>84</v>
      </c>
      <c r="T31" s="33" t="s">
        <v>92</v>
      </c>
      <c r="U31" s="33" t="s">
        <v>84</v>
      </c>
      <c r="V31" s="33">
        <v>0.55000000000000004</v>
      </c>
      <c r="W31" s="33">
        <f>2+V31*(5-2)</f>
        <v>3.6500000000000004</v>
      </c>
      <c r="X31" s="35">
        <f>D31+W31</f>
        <v>15.65</v>
      </c>
      <c r="Y31" s="33" t="s">
        <v>88</v>
      </c>
      <c r="Z31" s="33" t="s">
        <v>85</v>
      </c>
      <c r="AA31" s="33">
        <v>0</v>
      </c>
      <c r="AB31" s="34">
        <f t="shared" si="1"/>
        <v>10.94</v>
      </c>
      <c r="AC31" s="34">
        <v>5.74</v>
      </c>
      <c r="AD31" s="33">
        <v>0</v>
      </c>
      <c r="AE31" s="33" t="s">
        <v>84</v>
      </c>
      <c r="AF31" s="33" t="s">
        <v>84</v>
      </c>
      <c r="AG31" s="33" t="s">
        <v>84</v>
      </c>
      <c r="AH31" s="33"/>
      <c r="AI31" s="33" t="s">
        <v>84</v>
      </c>
      <c r="AJ31" s="33" t="s">
        <v>84</v>
      </c>
      <c r="AK31" s="33" t="s">
        <v>84</v>
      </c>
      <c r="AL31" s="33"/>
      <c r="AM31" s="34" t="s">
        <v>89</v>
      </c>
      <c r="AN31" s="34">
        <v>12</v>
      </c>
      <c r="AO31" s="34">
        <v>3.65</v>
      </c>
      <c r="AP31" s="34"/>
      <c r="AQ31" s="34"/>
      <c r="AR31" s="34"/>
      <c r="AS31" s="34"/>
      <c r="AT31" s="34"/>
      <c r="AU31" s="34"/>
      <c r="AV31" s="34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</row>
    <row r="32" spans="1:100" ht="15.75" customHeight="1">
      <c r="A32" s="33"/>
      <c r="B32" s="33">
        <v>7</v>
      </c>
      <c r="C32" s="33" t="s">
        <v>94</v>
      </c>
      <c r="D32" s="34">
        <v>15.65</v>
      </c>
      <c r="E32" s="34" t="s">
        <v>84</v>
      </c>
      <c r="F32" s="35">
        <v>16</v>
      </c>
      <c r="G32" s="33" t="s">
        <v>84</v>
      </c>
      <c r="H32" s="33" t="s">
        <v>84</v>
      </c>
      <c r="I32" s="33" t="s">
        <v>84</v>
      </c>
      <c r="J32" s="34" t="s">
        <v>84</v>
      </c>
      <c r="K32" s="33" t="s">
        <v>84</v>
      </c>
      <c r="L32" s="33"/>
      <c r="M32" s="33" t="s">
        <v>84</v>
      </c>
      <c r="N32" s="33" t="s">
        <v>84</v>
      </c>
      <c r="O32" s="33" t="s">
        <v>84</v>
      </c>
      <c r="P32" s="33" t="s">
        <v>84</v>
      </c>
      <c r="Q32" s="33" t="s">
        <v>84</v>
      </c>
      <c r="R32" s="33" t="s">
        <v>84</v>
      </c>
      <c r="S32" s="33" t="s">
        <v>84</v>
      </c>
      <c r="T32" s="33" t="s">
        <v>92</v>
      </c>
      <c r="U32" s="33" t="s">
        <v>84</v>
      </c>
      <c r="V32" s="33" t="s">
        <v>84</v>
      </c>
      <c r="W32" s="33" t="s">
        <v>84</v>
      </c>
      <c r="X32" s="33" t="s">
        <v>84</v>
      </c>
      <c r="Y32" s="33" t="s">
        <v>85</v>
      </c>
      <c r="Z32" s="33" t="s">
        <v>85</v>
      </c>
      <c r="AA32" s="33">
        <v>0</v>
      </c>
      <c r="AB32" s="34">
        <f t="shared" si="1"/>
        <v>14.59</v>
      </c>
      <c r="AC32" s="34">
        <f>AC31+(D32-D31)</f>
        <v>9.39</v>
      </c>
      <c r="AD32" s="33">
        <v>0</v>
      </c>
      <c r="AE32" s="33" t="s">
        <v>84</v>
      </c>
      <c r="AF32" s="33" t="s">
        <v>84</v>
      </c>
      <c r="AG32" s="33" t="s">
        <v>84</v>
      </c>
      <c r="AH32" s="33"/>
      <c r="AI32" s="33" t="s">
        <v>84</v>
      </c>
      <c r="AJ32" s="33" t="s">
        <v>84</v>
      </c>
      <c r="AK32" s="33" t="s">
        <v>84</v>
      </c>
      <c r="AL32" s="33"/>
      <c r="AM32" s="38"/>
      <c r="AN32" s="38"/>
      <c r="AO32" s="34">
        <v>3.65</v>
      </c>
      <c r="AP32" s="34"/>
      <c r="AQ32" s="34"/>
      <c r="AR32" s="34"/>
      <c r="AS32" s="34"/>
      <c r="AT32" s="34"/>
      <c r="AU32" s="34"/>
      <c r="AV32" s="34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</row>
    <row r="33" spans="1:100" ht="15.75" customHeight="1">
      <c r="A33" s="33"/>
      <c r="B33" s="33">
        <v>8</v>
      </c>
      <c r="C33" s="33" t="s">
        <v>95</v>
      </c>
      <c r="D33" s="34">
        <v>16</v>
      </c>
      <c r="E33" s="34">
        <v>4</v>
      </c>
      <c r="F33" s="35">
        <v>20</v>
      </c>
      <c r="G33" s="33">
        <v>0.21</v>
      </c>
      <c r="H33" s="33" t="s">
        <v>83</v>
      </c>
      <c r="I33" s="33">
        <v>0.55000000000000004</v>
      </c>
      <c r="J33" s="34">
        <f t="shared" ref="J33:J34" si="2">-6*LN(1-I33)</f>
        <v>4.7910461773066304</v>
      </c>
      <c r="K33" s="39">
        <v>20.79</v>
      </c>
      <c r="L33" s="33"/>
      <c r="M33" s="33" t="s">
        <v>84</v>
      </c>
      <c r="N33" s="33" t="s">
        <v>84</v>
      </c>
      <c r="O33" s="33" t="s">
        <v>84</v>
      </c>
      <c r="P33" s="33" t="s">
        <v>84</v>
      </c>
      <c r="Q33" s="33" t="s">
        <v>84</v>
      </c>
      <c r="R33" s="33" t="s">
        <v>84</v>
      </c>
      <c r="S33" s="33" t="s">
        <v>84</v>
      </c>
      <c r="T33" s="33" t="s">
        <v>92</v>
      </c>
      <c r="U33" s="33" t="s">
        <v>84</v>
      </c>
      <c r="V33" s="33" t="s">
        <v>84</v>
      </c>
      <c r="W33" s="33" t="s">
        <v>84</v>
      </c>
      <c r="X33" s="33" t="s">
        <v>84</v>
      </c>
      <c r="Y33" s="33" t="s">
        <v>88</v>
      </c>
      <c r="Z33" s="33" t="s">
        <v>85</v>
      </c>
      <c r="AA33" s="33">
        <v>0</v>
      </c>
      <c r="AB33" s="34">
        <f t="shared" si="1"/>
        <v>14.94</v>
      </c>
      <c r="AC33" s="34">
        <v>9.39</v>
      </c>
      <c r="AD33" s="33">
        <v>0</v>
      </c>
      <c r="AE33" s="33" t="s">
        <v>84</v>
      </c>
      <c r="AF33" s="33" t="s">
        <v>84</v>
      </c>
      <c r="AG33" s="33" t="s">
        <v>84</v>
      </c>
      <c r="AH33" s="33"/>
      <c r="AI33" s="33" t="s">
        <v>84</v>
      </c>
      <c r="AJ33" s="33" t="s">
        <v>84</v>
      </c>
      <c r="AK33" s="33" t="s">
        <v>84</v>
      </c>
      <c r="AL33" s="33"/>
      <c r="AM33" s="33" t="s">
        <v>84</v>
      </c>
      <c r="AN33" s="33" t="s">
        <v>84</v>
      </c>
      <c r="AO33" s="33" t="s">
        <v>84</v>
      </c>
      <c r="AP33" s="33"/>
      <c r="AQ33" s="34" t="s">
        <v>89</v>
      </c>
      <c r="AR33" s="34">
        <v>16</v>
      </c>
      <c r="AS33" s="34">
        <v>4.79</v>
      </c>
      <c r="AT33" s="34"/>
      <c r="AU33" s="34"/>
      <c r="AV33" s="34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</row>
    <row r="34" spans="1:100" ht="15.75" customHeight="1">
      <c r="A34" s="31"/>
      <c r="B34" s="33">
        <v>9</v>
      </c>
      <c r="C34" s="33" t="s">
        <v>96</v>
      </c>
      <c r="D34" s="34">
        <v>20</v>
      </c>
      <c r="E34" s="34">
        <v>4</v>
      </c>
      <c r="F34" s="35">
        <v>24</v>
      </c>
      <c r="G34" s="33">
        <v>0.59</v>
      </c>
      <c r="H34" s="33" t="s">
        <v>83</v>
      </c>
      <c r="I34" s="33">
        <v>0.71</v>
      </c>
      <c r="J34" s="34">
        <f t="shared" si="2"/>
        <v>7.4272461360097033</v>
      </c>
      <c r="K34" s="40">
        <v>20.79</v>
      </c>
      <c r="L34" s="34">
        <f>D34+J34</f>
        <v>27.427246136009703</v>
      </c>
      <c r="M34" s="33" t="s">
        <v>84</v>
      </c>
      <c r="N34" s="33" t="s">
        <v>84</v>
      </c>
      <c r="O34" s="33" t="s">
        <v>84</v>
      </c>
      <c r="P34" s="33" t="s">
        <v>84</v>
      </c>
      <c r="Q34" s="33" t="s">
        <v>84</v>
      </c>
      <c r="R34" s="33" t="s">
        <v>84</v>
      </c>
      <c r="S34" s="33" t="s">
        <v>84</v>
      </c>
      <c r="T34" s="33" t="s">
        <v>84</v>
      </c>
      <c r="U34" s="33" t="s">
        <v>84</v>
      </c>
      <c r="V34" s="33" t="s">
        <v>84</v>
      </c>
      <c r="W34" s="33" t="s">
        <v>84</v>
      </c>
      <c r="X34" s="33" t="s">
        <v>84</v>
      </c>
      <c r="Y34" s="33" t="s">
        <v>88</v>
      </c>
      <c r="Z34" s="33" t="s">
        <v>88</v>
      </c>
      <c r="AA34" s="33">
        <v>0</v>
      </c>
      <c r="AB34" s="34">
        <f t="shared" si="1"/>
        <v>18.939999999999998</v>
      </c>
      <c r="AC34" s="34">
        <v>13.39</v>
      </c>
      <c r="AD34" s="33">
        <v>0</v>
      </c>
      <c r="AE34" s="33" t="s">
        <v>84</v>
      </c>
      <c r="AF34" s="33" t="s">
        <v>84</v>
      </c>
      <c r="AG34" s="33" t="s">
        <v>84</v>
      </c>
      <c r="AH34" s="33"/>
      <c r="AI34" s="33" t="s">
        <v>84</v>
      </c>
      <c r="AJ34" s="33" t="s">
        <v>84</v>
      </c>
      <c r="AK34" s="33" t="s">
        <v>84</v>
      </c>
      <c r="AL34" s="33"/>
      <c r="AM34" s="33" t="s">
        <v>84</v>
      </c>
      <c r="AN34" s="33" t="s">
        <v>84</v>
      </c>
      <c r="AO34" s="33" t="s">
        <v>84</v>
      </c>
      <c r="AP34" s="33"/>
      <c r="AQ34" s="34" t="s">
        <v>89</v>
      </c>
      <c r="AR34" s="34">
        <v>16</v>
      </c>
      <c r="AS34" s="34">
        <v>4.79</v>
      </c>
      <c r="AT34" s="34"/>
      <c r="AU34" s="34" t="s">
        <v>89</v>
      </c>
      <c r="AV34" s="34">
        <v>20</v>
      </c>
      <c r="AW34" s="33">
        <v>7.43</v>
      </c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</row>
    <row r="35" spans="1:100" ht="15.75" customHeight="1">
      <c r="A35" s="33"/>
      <c r="B35" s="33">
        <v>10</v>
      </c>
      <c r="C35" s="33" t="s">
        <v>97</v>
      </c>
      <c r="D35" s="34">
        <v>20.79</v>
      </c>
      <c r="E35" s="34" t="s">
        <v>84</v>
      </c>
      <c r="F35" s="34" t="s">
        <v>84</v>
      </c>
      <c r="G35" s="33" t="s">
        <v>84</v>
      </c>
      <c r="H35" s="33" t="s">
        <v>84</v>
      </c>
      <c r="I35" s="33" t="s">
        <v>84</v>
      </c>
      <c r="J35" s="34" t="s">
        <v>84</v>
      </c>
      <c r="K35" s="41" t="s">
        <v>84</v>
      </c>
      <c r="L35" s="33">
        <v>27.43</v>
      </c>
      <c r="M35" s="33">
        <v>0.78</v>
      </c>
      <c r="N35" s="33" t="s">
        <v>98</v>
      </c>
      <c r="O35" s="33">
        <v>50.79</v>
      </c>
      <c r="P35" s="33" t="s">
        <v>84</v>
      </c>
      <c r="Q35" s="33" t="s">
        <v>84</v>
      </c>
      <c r="R35" s="33" t="s">
        <v>84</v>
      </c>
      <c r="S35" s="33" t="s">
        <v>84</v>
      </c>
      <c r="T35" s="33" t="s">
        <v>84</v>
      </c>
      <c r="U35" s="33" t="s">
        <v>84</v>
      </c>
      <c r="V35" s="33" t="s">
        <v>84</v>
      </c>
      <c r="W35" s="33" t="s">
        <v>84</v>
      </c>
      <c r="X35" s="33" t="s">
        <v>84</v>
      </c>
      <c r="Y35" s="33" t="s">
        <v>85</v>
      </c>
      <c r="Z35" s="33" t="s">
        <v>88</v>
      </c>
      <c r="AA35" s="33">
        <v>0</v>
      </c>
      <c r="AB35" s="34">
        <v>18.940000000000001</v>
      </c>
      <c r="AC35" s="34">
        <f>AC34+(D35-D34)</f>
        <v>14.18</v>
      </c>
      <c r="AD35" s="33">
        <v>1</v>
      </c>
      <c r="AE35" s="33" t="s">
        <v>84</v>
      </c>
      <c r="AF35" s="33" t="s">
        <v>84</v>
      </c>
      <c r="AG35" s="33" t="s">
        <v>84</v>
      </c>
      <c r="AH35" s="33"/>
      <c r="AI35" s="33" t="s">
        <v>84</v>
      </c>
      <c r="AJ35" s="33" t="s">
        <v>84</v>
      </c>
      <c r="AK35" s="33" t="s">
        <v>84</v>
      </c>
      <c r="AL35" s="33"/>
      <c r="AM35" s="33" t="s">
        <v>84</v>
      </c>
      <c r="AN35" s="33" t="s">
        <v>84</v>
      </c>
      <c r="AO35" s="33" t="s">
        <v>84</v>
      </c>
      <c r="AP35" s="33"/>
      <c r="AQ35" s="34" t="s">
        <v>99</v>
      </c>
      <c r="AR35" s="34">
        <v>16</v>
      </c>
      <c r="AS35" s="34">
        <v>4.79</v>
      </c>
      <c r="AT35" s="34" t="s">
        <v>100</v>
      </c>
      <c r="AU35" s="34" t="s">
        <v>89</v>
      </c>
      <c r="AV35" s="34">
        <v>20</v>
      </c>
      <c r="AW35" s="33">
        <v>7.43</v>
      </c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</row>
    <row r="36" spans="1:100" ht="15.75" customHeight="1">
      <c r="A36" s="33"/>
      <c r="B36" s="33">
        <v>11</v>
      </c>
      <c r="C36" s="33" t="s">
        <v>101</v>
      </c>
      <c r="D36" s="34">
        <v>24</v>
      </c>
      <c r="E36" s="34">
        <v>4</v>
      </c>
      <c r="F36" s="34">
        <v>28</v>
      </c>
      <c r="G36" s="33">
        <v>0.71</v>
      </c>
      <c r="H36" s="33" t="s">
        <v>87</v>
      </c>
      <c r="I36" s="33" t="s">
        <v>84</v>
      </c>
      <c r="J36" s="34" t="s">
        <v>84</v>
      </c>
      <c r="K36" s="41" t="s">
        <v>84</v>
      </c>
      <c r="L36" s="33">
        <v>27.43</v>
      </c>
      <c r="M36" s="33" t="s">
        <v>84</v>
      </c>
      <c r="N36" s="33" t="s">
        <v>84</v>
      </c>
      <c r="O36" s="33">
        <v>50.79</v>
      </c>
      <c r="P36" s="33" t="s">
        <v>84</v>
      </c>
      <c r="Q36" s="33" t="s">
        <v>84</v>
      </c>
      <c r="R36" s="33">
        <v>0.05</v>
      </c>
      <c r="S36" s="33">
        <f>1.3+R36*(2.3-1.3)</f>
        <v>1.35</v>
      </c>
      <c r="T36" s="36">
        <v>25.35</v>
      </c>
      <c r="U36" s="33" t="s">
        <v>84</v>
      </c>
      <c r="V36" s="33" t="s">
        <v>84</v>
      </c>
      <c r="W36" s="33" t="s">
        <v>84</v>
      </c>
      <c r="X36" s="33" t="s">
        <v>84</v>
      </c>
      <c r="Y36" s="33" t="s">
        <v>88</v>
      </c>
      <c r="Z36" s="33" t="s">
        <v>88</v>
      </c>
      <c r="AA36" s="33">
        <v>0</v>
      </c>
      <c r="AB36" s="34">
        <v>22.15</v>
      </c>
      <c r="AC36" s="34">
        <v>14.18</v>
      </c>
      <c r="AD36" s="33">
        <v>1</v>
      </c>
      <c r="AE36" s="33" t="s">
        <v>84</v>
      </c>
      <c r="AF36" s="33" t="s">
        <v>84</v>
      </c>
      <c r="AG36" s="33" t="s">
        <v>84</v>
      </c>
      <c r="AH36" s="33"/>
      <c r="AI36" s="33" t="s">
        <v>84</v>
      </c>
      <c r="AJ36" s="33" t="s">
        <v>84</v>
      </c>
      <c r="AK36" s="33" t="s">
        <v>84</v>
      </c>
      <c r="AL36" s="33"/>
      <c r="AM36" s="33" t="s">
        <v>84</v>
      </c>
      <c r="AN36" s="33" t="s">
        <v>84</v>
      </c>
      <c r="AO36" s="33" t="s">
        <v>84</v>
      </c>
      <c r="AP36" s="33"/>
      <c r="AQ36" s="33" t="s">
        <v>84</v>
      </c>
      <c r="AR36" s="33" t="s">
        <v>84</v>
      </c>
      <c r="AS36" s="33" t="s">
        <v>84</v>
      </c>
      <c r="AT36" s="33" t="s">
        <v>100</v>
      </c>
      <c r="AU36" s="34" t="s">
        <v>89</v>
      </c>
      <c r="AV36" s="34">
        <v>20</v>
      </c>
      <c r="AW36" s="33">
        <v>7.43</v>
      </c>
      <c r="AX36" s="33"/>
      <c r="AY36" s="33" t="s">
        <v>89</v>
      </c>
      <c r="AZ36" s="33">
        <v>20</v>
      </c>
      <c r="BA36" s="33">
        <v>5.81</v>
      </c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</row>
    <row r="37" spans="1:100" ht="15.75" customHeight="1">
      <c r="A37" s="33"/>
      <c r="B37" s="33">
        <v>12</v>
      </c>
      <c r="C37" s="33" t="s">
        <v>102</v>
      </c>
      <c r="D37" s="34">
        <v>25.35</v>
      </c>
      <c r="E37" s="34" t="s">
        <v>84</v>
      </c>
      <c r="F37" s="34">
        <v>28</v>
      </c>
      <c r="G37" s="33" t="s">
        <v>84</v>
      </c>
      <c r="H37" s="33" t="s">
        <v>84</v>
      </c>
      <c r="I37" s="33" t="s">
        <v>84</v>
      </c>
      <c r="J37" s="34" t="s">
        <v>84</v>
      </c>
      <c r="K37" s="41" t="s">
        <v>84</v>
      </c>
      <c r="L37" s="36">
        <v>27.43</v>
      </c>
      <c r="M37" s="33" t="s">
        <v>84</v>
      </c>
      <c r="N37" s="33" t="s">
        <v>84</v>
      </c>
      <c r="O37" s="33">
        <v>50.79</v>
      </c>
      <c r="P37" s="33" t="s">
        <v>84</v>
      </c>
      <c r="Q37" s="33" t="s">
        <v>84</v>
      </c>
      <c r="R37" s="33" t="s">
        <v>84</v>
      </c>
      <c r="S37" s="33" t="s">
        <v>84</v>
      </c>
      <c r="T37" s="33" t="s">
        <v>84</v>
      </c>
      <c r="U37" s="33" t="s">
        <v>84</v>
      </c>
      <c r="V37" s="33" t="s">
        <v>84</v>
      </c>
      <c r="W37" s="33" t="s">
        <v>84</v>
      </c>
      <c r="X37" s="33" t="s">
        <v>84</v>
      </c>
      <c r="Y37" s="33" t="s">
        <v>85</v>
      </c>
      <c r="Z37" s="33" t="s">
        <v>88</v>
      </c>
      <c r="AA37" s="33">
        <v>0</v>
      </c>
      <c r="AB37" s="34">
        <v>22.15</v>
      </c>
      <c r="AC37" s="34">
        <v>14.18</v>
      </c>
      <c r="AD37" s="33">
        <v>1</v>
      </c>
      <c r="AE37" s="33" t="s">
        <v>84</v>
      </c>
      <c r="AF37" s="33" t="s">
        <v>84</v>
      </c>
      <c r="AG37" s="33" t="s">
        <v>84</v>
      </c>
      <c r="AH37" s="33"/>
      <c r="AI37" s="33" t="s">
        <v>84</v>
      </c>
      <c r="AJ37" s="33" t="s">
        <v>84</v>
      </c>
      <c r="AK37" s="33" t="s">
        <v>84</v>
      </c>
      <c r="AL37" s="33"/>
      <c r="AM37" s="33" t="s">
        <v>84</v>
      </c>
      <c r="AN37" s="33" t="s">
        <v>84</v>
      </c>
      <c r="AO37" s="33" t="s">
        <v>84</v>
      </c>
      <c r="AP37" s="33"/>
      <c r="AQ37" s="33" t="s">
        <v>84</v>
      </c>
      <c r="AR37" s="33" t="s">
        <v>84</v>
      </c>
      <c r="AS37" s="33" t="s">
        <v>84</v>
      </c>
      <c r="AT37" s="33" t="s">
        <v>100</v>
      </c>
      <c r="AU37" s="34" t="s">
        <v>89</v>
      </c>
      <c r="AV37" s="34">
        <v>20</v>
      </c>
      <c r="AW37" s="33">
        <v>7.43</v>
      </c>
      <c r="AX37" s="33"/>
      <c r="AY37" s="38"/>
      <c r="AZ37" s="38"/>
      <c r="BA37" s="33">
        <v>5.81</v>
      </c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</row>
    <row r="38" spans="1:100" ht="15.75" customHeight="1">
      <c r="A38" s="31"/>
      <c r="B38" s="33">
        <v>13</v>
      </c>
      <c r="C38" s="33" t="s">
        <v>103</v>
      </c>
      <c r="D38" s="34">
        <v>27.43</v>
      </c>
      <c r="E38" s="34" t="s">
        <v>84</v>
      </c>
      <c r="F38" s="35">
        <v>28</v>
      </c>
      <c r="G38" s="33" t="s">
        <v>84</v>
      </c>
      <c r="H38" s="33" t="s">
        <v>84</v>
      </c>
      <c r="I38" s="33" t="s">
        <v>84</v>
      </c>
      <c r="J38" s="34" t="s">
        <v>84</v>
      </c>
      <c r="K38" s="33" t="s">
        <v>84</v>
      </c>
      <c r="L38" s="33"/>
      <c r="M38" s="33">
        <v>0.59</v>
      </c>
      <c r="N38" s="33" t="s">
        <v>98</v>
      </c>
      <c r="O38" s="33">
        <v>50.79</v>
      </c>
      <c r="P38" s="33">
        <v>57.43</v>
      </c>
      <c r="Q38" s="33" t="s">
        <v>84</v>
      </c>
      <c r="R38" s="33" t="s">
        <v>84</v>
      </c>
      <c r="S38" s="33" t="s">
        <v>84</v>
      </c>
      <c r="T38" s="33" t="s">
        <v>84</v>
      </c>
      <c r="U38" s="33" t="s">
        <v>84</v>
      </c>
      <c r="V38" s="33" t="s">
        <v>84</v>
      </c>
      <c r="W38" s="33" t="s">
        <v>84</v>
      </c>
      <c r="X38" s="33" t="s">
        <v>84</v>
      </c>
      <c r="Y38" s="33" t="s">
        <v>85</v>
      </c>
      <c r="Z38" s="33" t="s">
        <v>85</v>
      </c>
      <c r="AA38" s="33">
        <v>0</v>
      </c>
      <c r="AB38" s="34">
        <f t="shared" ref="AB38:AB39" si="3">AB37+(D38-D37)</f>
        <v>24.229999999999997</v>
      </c>
      <c r="AC38" s="34">
        <v>14.18</v>
      </c>
      <c r="AD38" s="33">
        <v>1</v>
      </c>
      <c r="AE38" s="33" t="s">
        <v>84</v>
      </c>
      <c r="AF38" s="33" t="s">
        <v>84</v>
      </c>
      <c r="AG38" s="33" t="s">
        <v>84</v>
      </c>
      <c r="AH38" s="33"/>
      <c r="AI38" s="33" t="s">
        <v>84</v>
      </c>
      <c r="AJ38" s="33" t="s">
        <v>84</v>
      </c>
      <c r="AK38" s="33" t="s">
        <v>84</v>
      </c>
      <c r="AL38" s="33"/>
      <c r="AM38" s="33" t="s">
        <v>84</v>
      </c>
      <c r="AN38" s="33" t="s">
        <v>84</v>
      </c>
      <c r="AO38" s="33" t="s">
        <v>84</v>
      </c>
      <c r="AP38" s="33"/>
      <c r="AQ38" s="33" t="s">
        <v>84</v>
      </c>
      <c r="AR38" s="33" t="s">
        <v>84</v>
      </c>
      <c r="AS38" s="33" t="s">
        <v>84</v>
      </c>
      <c r="AT38" s="34" t="s">
        <v>100</v>
      </c>
      <c r="AU38" s="38" t="s">
        <v>99</v>
      </c>
      <c r="AV38" s="38"/>
      <c r="AW38" s="33">
        <v>7.43</v>
      </c>
      <c r="AX38" s="33" t="s">
        <v>104</v>
      </c>
      <c r="AY38" s="33" t="s">
        <v>84</v>
      </c>
      <c r="AZ38" s="33" t="s">
        <v>84</v>
      </c>
      <c r="BA38" s="33" t="s">
        <v>84</v>
      </c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</row>
    <row r="39" spans="1:100" ht="15.75" customHeight="1">
      <c r="A39" s="33"/>
      <c r="B39" s="33">
        <v>14</v>
      </c>
      <c r="C39" s="33" t="s">
        <v>105</v>
      </c>
      <c r="D39" s="34">
        <v>28</v>
      </c>
      <c r="E39" s="34">
        <v>4</v>
      </c>
      <c r="F39" s="35">
        <v>32</v>
      </c>
      <c r="G39" s="33">
        <v>0.28999999999999998</v>
      </c>
      <c r="H39" s="33" t="s">
        <v>83</v>
      </c>
      <c r="I39" s="33">
        <v>0.54</v>
      </c>
      <c r="J39" s="34">
        <f>-6*LN(1-I39)</f>
        <v>4.6591727369939786</v>
      </c>
      <c r="K39" s="34">
        <f>D39+J39</f>
        <v>32.65917273699398</v>
      </c>
      <c r="L39" s="33"/>
      <c r="M39" s="33" t="s">
        <v>84</v>
      </c>
      <c r="N39" s="34" t="s">
        <v>84</v>
      </c>
      <c r="O39" s="33">
        <v>50.79</v>
      </c>
      <c r="P39" s="33">
        <v>57.43</v>
      </c>
      <c r="Q39" s="33" t="s">
        <v>84</v>
      </c>
      <c r="R39" s="34" t="s">
        <v>84</v>
      </c>
      <c r="S39" s="33" t="s">
        <v>84</v>
      </c>
      <c r="T39" s="33" t="s">
        <v>84</v>
      </c>
      <c r="U39" s="33" t="s">
        <v>84</v>
      </c>
      <c r="V39" s="34" t="s">
        <v>84</v>
      </c>
      <c r="W39" s="33" t="s">
        <v>84</v>
      </c>
      <c r="X39" s="33" t="s">
        <v>84</v>
      </c>
      <c r="Y39" s="33" t="s">
        <v>88</v>
      </c>
      <c r="Z39" s="33" t="s">
        <v>85</v>
      </c>
      <c r="AA39" s="33">
        <v>0</v>
      </c>
      <c r="AB39" s="34">
        <f t="shared" si="3"/>
        <v>24.799999999999997</v>
      </c>
      <c r="AC39" s="34">
        <f t="shared" ref="AC39:AC40" si="4">AC38+(D39-D38)</f>
        <v>14.75</v>
      </c>
      <c r="AD39" s="33">
        <v>2</v>
      </c>
      <c r="AE39" s="33" t="s">
        <v>84</v>
      </c>
      <c r="AF39" s="33" t="s">
        <v>84</v>
      </c>
      <c r="AG39" s="33" t="s">
        <v>84</v>
      </c>
      <c r="AH39" s="33"/>
      <c r="AI39" s="33" t="s">
        <v>84</v>
      </c>
      <c r="AJ39" s="33" t="s">
        <v>84</v>
      </c>
      <c r="AK39" s="33" t="s">
        <v>84</v>
      </c>
      <c r="AL39" s="33"/>
      <c r="AM39" s="33" t="s">
        <v>84</v>
      </c>
      <c r="AN39" s="33" t="s">
        <v>84</v>
      </c>
      <c r="AO39" s="33" t="s">
        <v>84</v>
      </c>
      <c r="AP39" s="33"/>
      <c r="AQ39" s="33" t="s">
        <v>84</v>
      </c>
      <c r="AR39" s="33" t="s">
        <v>84</v>
      </c>
      <c r="AS39" s="33" t="s">
        <v>84</v>
      </c>
      <c r="AT39" s="33" t="s">
        <v>100</v>
      </c>
      <c r="AU39" s="33" t="s">
        <v>84</v>
      </c>
      <c r="AV39" s="33" t="s">
        <v>84</v>
      </c>
      <c r="AW39" s="33" t="s">
        <v>84</v>
      </c>
      <c r="AX39" s="33" t="s">
        <v>104</v>
      </c>
      <c r="AY39" s="33" t="s">
        <v>84</v>
      </c>
      <c r="AZ39" s="33" t="s">
        <v>84</v>
      </c>
      <c r="BA39" s="33" t="s">
        <v>84</v>
      </c>
      <c r="BB39" s="33"/>
      <c r="BC39" s="33" t="s">
        <v>89</v>
      </c>
      <c r="BD39" s="33">
        <v>28</v>
      </c>
      <c r="BE39" s="34">
        <v>4.66</v>
      </c>
      <c r="BF39" s="34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</row>
    <row r="40" spans="1:100" ht="15.75" customHeight="1">
      <c r="A40" s="33"/>
      <c r="B40" s="33">
        <v>15</v>
      </c>
      <c r="C40" s="33" t="s">
        <v>106</v>
      </c>
      <c r="D40" s="34">
        <v>32</v>
      </c>
      <c r="E40" s="34">
        <v>4</v>
      </c>
      <c r="F40" s="34">
        <v>36</v>
      </c>
      <c r="G40" s="33">
        <v>0.91</v>
      </c>
      <c r="H40" s="33" t="s">
        <v>5</v>
      </c>
      <c r="I40" s="33" t="s">
        <v>84</v>
      </c>
      <c r="J40" s="34" t="s">
        <v>84</v>
      </c>
      <c r="K40" s="36">
        <v>32.659999999999997</v>
      </c>
      <c r="L40" s="33"/>
      <c r="M40" s="33" t="s">
        <v>84</v>
      </c>
      <c r="N40" s="34" t="s">
        <v>84</v>
      </c>
      <c r="O40" s="33">
        <v>50.79</v>
      </c>
      <c r="P40" s="33">
        <v>57.43</v>
      </c>
      <c r="Q40" s="33" t="s">
        <v>84</v>
      </c>
      <c r="R40" s="34" t="s">
        <v>84</v>
      </c>
      <c r="S40" s="33" t="s">
        <v>84</v>
      </c>
      <c r="T40" s="33" t="s">
        <v>84</v>
      </c>
      <c r="U40" s="33" t="s">
        <v>84</v>
      </c>
      <c r="V40" s="33">
        <v>0.18</v>
      </c>
      <c r="W40" s="33">
        <f>2+V40*(5-2)</f>
        <v>2.54</v>
      </c>
      <c r="X40" s="39">
        <f>D40+W40</f>
        <v>34.54</v>
      </c>
      <c r="Y40" s="33" t="s">
        <v>88</v>
      </c>
      <c r="Z40" s="33" t="s">
        <v>88</v>
      </c>
      <c r="AA40" s="33">
        <v>0</v>
      </c>
      <c r="AB40" s="34">
        <v>24.8</v>
      </c>
      <c r="AC40" s="34">
        <f t="shared" si="4"/>
        <v>18.75</v>
      </c>
      <c r="AD40" s="33">
        <v>2</v>
      </c>
      <c r="AE40" s="33" t="s">
        <v>84</v>
      </c>
      <c r="AF40" s="33" t="s">
        <v>84</v>
      </c>
      <c r="AG40" s="33" t="s">
        <v>84</v>
      </c>
      <c r="AH40" s="33"/>
      <c r="AI40" s="33" t="s">
        <v>84</v>
      </c>
      <c r="AJ40" s="33" t="s">
        <v>84</v>
      </c>
      <c r="AK40" s="33" t="s">
        <v>84</v>
      </c>
      <c r="AL40" s="33"/>
      <c r="AM40" s="33" t="s">
        <v>84</v>
      </c>
      <c r="AN40" s="33" t="s">
        <v>84</v>
      </c>
      <c r="AO40" s="33" t="s">
        <v>84</v>
      </c>
      <c r="AP40" s="33"/>
      <c r="AQ40" s="33" t="s">
        <v>84</v>
      </c>
      <c r="AR40" s="33" t="s">
        <v>84</v>
      </c>
      <c r="AS40" s="33" t="s">
        <v>84</v>
      </c>
      <c r="AT40" s="33" t="s">
        <v>100</v>
      </c>
      <c r="AU40" s="33" t="s">
        <v>84</v>
      </c>
      <c r="AV40" s="33" t="s">
        <v>84</v>
      </c>
      <c r="AW40" s="33" t="s">
        <v>84</v>
      </c>
      <c r="AX40" s="33" t="s">
        <v>104</v>
      </c>
      <c r="AY40" s="33" t="s">
        <v>84</v>
      </c>
      <c r="AZ40" s="33" t="s">
        <v>84</v>
      </c>
      <c r="BA40" s="33" t="s">
        <v>84</v>
      </c>
      <c r="BB40" s="33"/>
      <c r="BC40" s="33" t="s">
        <v>89</v>
      </c>
      <c r="BD40" s="33">
        <v>28</v>
      </c>
      <c r="BE40" s="34">
        <v>4.66</v>
      </c>
      <c r="BF40" s="34"/>
      <c r="BG40" s="33" t="s">
        <v>89</v>
      </c>
      <c r="BH40" s="33">
        <v>32</v>
      </c>
      <c r="BI40" s="33">
        <v>2.54</v>
      </c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</row>
    <row r="41" spans="1:100" ht="15.75" customHeight="1">
      <c r="A41" s="33"/>
      <c r="B41" s="33">
        <v>16</v>
      </c>
      <c r="C41" s="33" t="s">
        <v>107</v>
      </c>
      <c r="D41" s="34">
        <v>32.659999999999997</v>
      </c>
      <c r="E41" s="34" t="s">
        <v>84</v>
      </c>
      <c r="F41" s="34">
        <v>36</v>
      </c>
      <c r="G41" s="33" t="s">
        <v>84</v>
      </c>
      <c r="H41" s="34" t="s">
        <v>84</v>
      </c>
      <c r="I41" s="33" t="s">
        <v>84</v>
      </c>
      <c r="J41" s="33" t="s">
        <v>84</v>
      </c>
      <c r="K41" s="34" t="s">
        <v>84</v>
      </c>
      <c r="L41" s="33"/>
      <c r="M41" s="33">
        <v>0.66</v>
      </c>
      <c r="N41" s="33" t="s">
        <v>98</v>
      </c>
      <c r="O41" s="33">
        <v>50.79</v>
      </c>
      <c r="P41" s="33">
        <v>57.43</v>
      </c>
      <c r="Q41" s="33">
        <v>62.66</v>
      </c>
      <c r="R41" s="34" t="s">
        <v>84</v>
      </c>
      <c r="S41" s="33" t="s">
        <v>84</v>
      </c>
      <c r="T41" s="33" t="s">
        <v>84</v>
      </c>
      <c r="U41" s="33" t="s">
        <v>84</v>
      </c>
      <c r="V41" s="34" t="s">
        <v>84</v>
      </c>
      <c r="W41" s="33" t="s">
        <v>84</v>
      </c>
      <c r="X41" s="35">
        <v>34.54</v>
      </c>
      <c r="Y41" s="33" t="s">
        <v>85</v>
      </c>
      <c r="Z41" s="33" t="s">
        <v>88</v>
      </c>
      <c r="AA41" s="33">
        <v>0</v>
      </c>
      <c r="AB41" s="34">
        <v>24.8</v>
      </c>
      <c r="AC41" s="34">
        <v>18.75</v>
      </c>
      <c r="AD41" s="33">
        <v>2</v>
      </c>
      <c r="AE41" s="33" t="s">
        <v>84</v>
      </c>
      <c r="AF41" s="33" t="s">
        <v>84</v>
      </c>
      <c r="AG41" s="33" t="s">
        <v>84</v>
      </c>
      <c r="AH41" s="33"/>
      <c r="AI41" s="33" t="s">
        <v>84</v>
      </c>
      <c r="AJ41" s="33" t="s">
        <v>84</v>
      </c>
      <c r="AK41" s="33" t="s">
        <v>84</v>
      </c>
      <c r="AL41" s="33"/>
      <c r="AM41" s="33" t="s">
        <v>84</v>
      </c>
      <c r="AN41" s="33" t="s">
        <v>84</v>
      </c>
      <c r="AO41" s="33" t="s">
        <v>84</v>
      </c>
      <c r="AP41" s="33"/>
      <c r="AQ41" s="33" t="s">
        <v>84</v>
      </c>
      <c r="AR41" s="33" t="s">
        <v>84</v>
      </c>
      <c r="AS41" s="33" t="s">
        <v>84</v>
      </c>
      <c r="AT41" s="34" t="s">
        <v>100</v>
      </c>
      <c r="AU41" s="33" t="s">
        <v>84</v>
      </c>
      <c r="AV41" s="33" t="s">
        <v>84</v>
      </c>
      <c r="AW41" s="33" t="s">
        <v>84</v>
      </c>
      <c r="AX41" s="33" t="s">
        <v>104</v>
      </c>
      <c r="AY41" s="33" t="s">
        <v>84</v>
      </c>
      <c r="AZ41" s="33" t="s">
        <v>84</v>
      </c>
      <c r="BA41" s="33" t="s">
        <v>84</v>
      </c>
      <c r="BB41" s="33"/>
      <c r="BC41" s="38" t="s">
        <v>99</v>
      </c>
      <c r="BD41" s="38"/>
      <c r="BE41" s="34">
        <v>4.66</v>
      </c>
      <c r="BF41" s="34" t="s">
        <v>108</v>
      </c>
      <c r="BG41" s="33" t="s">
        <v>89</v>
      </c>
      <c r="BH41" s="33">
        <v>32</v>
      </c>
      <c r="BI41" s="33">
        <v>2.54</v>
      </c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</row>
    <row r="42" spans="1:100" ht="15.75" customHeight="1">
      <c r="A42" s="31"/>
      <c r="B42" s="33">
        <v>17</v>
      </c>
      <c r="C42" s="33" t="s">
        <v>109</v>
      </c>
      <c r="D42" s="34">
        <v>34.64</v>
      </c>
      <c r="E42" s="34"/>
      <c r="F42" s="35">
        <v>36</v>
      </c>
      <c r="G42" s="33" t="s">
        <v>84</v>
      </c>
      <c r="H42" s="34" t="s">
        <v>84</v>
      </c>
      <c r="I42" s="33" t="s">
        <v>84</v>
      </c>
      <c r="J42" s="33" t="s">
        <v>84</v>
      </c>
      <c r="K42" s="34" t="s">
        <v>84</v>
      </c>
      <c r="L42" s="33"/>
      <c r="M42" s="33" t="s">
        <v>84</v>
      </c>
      <c r="N42" s="34" t="s">
        <v>84</v>
      </c>
      <c r="O42" s="33">
        <v>50.79</v>
      </c>
      <c r="P42" s="33">
        <v>57.43</v>
      </c>
      <c r="Q42" s="33">
        <v>62.66</v>
      </c>
      <c r="R42" s="34" t="s">
        <v>84</v>
      </c>
      <c r="S42" s="33" t="s">
        <v>84</v>
      </c>
      <c r="T42" s="34" t="s">
        <v>84</v>
      </c>
      <c r="U42" s="33" t="s">
        <v>84</v>
      </c>
      <c r="V42" s="33" t="s">
        <v>84</v>
      </c>
      <c r="W42" s="33" t="s">
        <v>84</v>
      </c>
      <c r="X42" s="34" t="s">
        <v>84</v>
      </c>
      <c r="Y42" s="33" t="s">
        <v>85</v>
      </c>
      <c r="Z42" s="33" t="s">
        <v>85</v>
      </c>
      <c r="AA42" s="33">
        <v>0</v>
      </c>
      <c r="AB42" s="34">
        <f t="shared" ref="AB42:AB43" si="5">AB41+(D42-D41)</f>
        <v>26.780000000000005</v>
      </c>
      <c r="AC42" s="34">
        <v>18.75</v>
      </c>
      <c r="AD42" s="33">
        <v>3</v>
      </c>
      <c r="AE42" s="33" t="s">
        <v>84</v>
      </c>
      <c r="AF42" s="33" t="s">
        <v>84</v>
      </c>
      <c r="AG42" s="33" t="s">
        <v>84</v>
      </c>
      <c r="AH42" s="33"/>
      <c r="AI42" s="33" t="s">
        <v>84</v>
      </c>
      <c r="AJ42" s="33" t="s">
        <v>84</v>
      </c>
      <c r="AK42" s="33" t="s">
        <v>84</v>
      </c>
      <c r="AL42" s="33"/>
      <c r="AM42" s="33" t="s">
        <v>84</v>
      </c>
      <c r="AN42" s="33" t="s">
        <v>84</v>
      </c>
      <c r="AO42" s="33" t="s">
        <v>84</v>
      </c>
      <c r="AP42" s="33"/>
      <c r="AQ42" s="33" t="s">
        <v>84</v>
      </c>
      <c r="AR42" s="33" t="s">
        <v>84</v>
      </c>
      <c r="AS42" s="33" t="s">
        <v>84</v>
      </c>
      <c r="AT42" s="33" t="s">
        <v>100</v>
      </c>
      <c r="AU42" s="33" t="s">
        <v>84</v>
      </c>
      <c r="AV42" s="33" t="s">
        <v>84</v>
      </c>
      <c r="AW42" s="33" t="s">
        <v>84</v>
      </c>
      <c r="AX42" s="33" t="s">
        <v>104</v>
      </c>
      <c r="AY42" s="33" t="s">
        <v>84</v>
      </c>
      <c r="AZ42" s="33" t="s">
        <v>84</v>
      </c>
      <c r="BA42" s="33" t="s">
        <v>84</v>
      </c>
      <c r="BB42" s="33"/>
      <c r="BC42" s="33" t="s">
        <v>84</v>
      </c>
      <c r="BD42" s="33" t="s">
        <v>84</v>
      </c>
      <c r="BE42" s="33" t="s">
        <v>84</v>
      </c>
      <c r="BF42" s="33" t="s">
        <v>108</v>
      </c>
      <c r="BG42" s="38"/>
      <c r="BH42" s="38"/>
      <c r="BI42" s="33">
        <v>2.54</v>
      </c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</row>
    <row r="43" spans="1:100" ht="15.75" customHeight="1">
      <c r="A43" s="33"/>
      <c r="B43" s="33">
        <v>18</v>
      </c>
      <c r="C43" s="33" t="s">
        <v>110</v>
      </c>
      <c r="D43" s="34">
        <v>36</v>
      </c>
      <c r="E43" s="34">
        <v>4</v>
      </c>
      <c r="F43" s="35">
        <v>40</v>
      </c>
      <c r="G43" s="33">
        <v>0.15</v>
      </c>
      <c r="H43" s="33" t="s">
        <v>83</v>
      </c>
      <c r="I43" s="33">
        <v>0.91</v>
      </c>
      <c r="J43" s="34">
        <f>-6*LN(1-I43)</f>
        <v>14.447673651911234</v>
      </c>
      <c r="K43" s="34">
        <f>D43+J43</f>
        <v>50.447673651911231</v>
      </c>
      <c r="L43" s="33"/>
      <c r="M43" s="33" t="s">
        <v>84</v>
      </c>
      <c r="N43" s="33" t="s">
        <v>84</v>
      </c>
      <c r="O43" s="33">
        <v>50.79</v>
      </c>
      <c r="P43" s="33">
        <v>57.43</v>
      </c>
      <c r="Q43" s="33">
        <v>62.66</v>
      </c>
      <c r="R43" s="34" t="s">
        <v>84</v>
      </c>
      <c r="S43" s="33" t="s">
        <v>84</v>
      </c>
      <c r="T43" s="33" t="s">
        <v>84</v>
      </c>
      <c r="U43" s="33" t="s">
        <v>84</v>
      </c>
      <c r="V43" s="34" t="s">
        <v>84</v>
      </c>
      <c r="W43" s="33" t="s">
        <v>84</v>
      </c>
      <c r="X43" s="34" t="s">
        <v>84</v>
      </c>
      <c r="Y43" s="33" t="s">
        <v>88</v>
      </c>
      <c r="Z43" s="33" t="s">
        <v>85</v>
      </c>
      <c r="AA43" s="33">
        <v>0</v>
      </c>
      <c r="AB43" s="34">
        <f t="shared" si="5"/>
        <v>28.140000000000004</v>
      </c>
      <c r="AC43" s="34">
        <f t="shared" ref="AC43:AC44" si="6">AC42+(D43-D42)</f>
        <v>20.11</v>
      </c>
      <c r="AD43" s="33">
        <v>3</v>
      </c>
      <c r="AE43" s="33" t="s">
        <v>84</v>
      </c>
      <c r="AF43" s="33" t="s">
        <v>84</v>
      </c>
      <c r="AG43" s="33" t="s">
        <v>84</v>
      </c>
      <c r="AH43" s="33"/>
      <c r="AI43" s="33" t="s">
        <v>84</v>
      </c>
      <c r="AJ43" s="33" t="s">
        <v>84</v>
      </c>
      <c r="AK43" s="33" t="s">
        <v>84</v>
      </c>
      <c r="AL43" s="33"/>
      <c r="AM43" s="33" t="s">
        <v>84</v>
      </c>
      <c r="AN43" s="33" t="s">
        <v>84</v>
      </c>
      <c r="AO43" s="33" t="s">
        <v>84</v>
      </c>
      <c r="AP43" s="33"/>
      <c r="AQ43" s="33" t="s">
        <v>84</v>
      </c>
      <c r="AR43" s="33" t="s">
        <v>84</v>
      </c>
      <c r="AS43" s="33" t="s">
        <v>84</v>
      </c>
      <c r="AT43" s="33" t="s">
        <v>100</v>
      </c>
      <c r="AU43" s="33" t="s">
        <v>84</v>
      </c>
      <c r="AV43" s="33" t="s">
        <v>84</v>
      </c>
      <c r="AW43" s="33" t="s">
        <v>84</v>
      </c>
      <c r="AX43" s="33" t="s">
        <v>104</v>
      </c>
      <c r="AY43" s="33" t="s">
        <v>84</v>
      </c>
      <c r="AZ43" s="33" t="s">
        <v>84</v>
      </c>
      <c r="BA43" s="33" t="s">
        <v>84</v>
      </c>
      <c r="BB43" s="33"/>
      <c r="BC43" s="33" t="s">
        <v>84</v>
      </c>
      <c r="BD43" s="33" t="s">
        <v>84</v>
      </c>
      <c r="BE43" s="33" t="s">
        <v>84</v>
      </c>
      <c r="BF43" s="33" t="s">
        <v>108</v>
      </c>
      <c r="BG43" s="33" t="s">
        <v>84</v>
      </c>
      <c r="BH43" s="33" t="s">
        <v>84</v>
      </c>
      <c r="BI43" s="33" t="s">
        <v>84</v>
      </c>
      <c r="BJ43" s="33"/>
      <c r="BK43" s="33" t="s">
        <v>89</v>
      </c>
      <c r="BL43" s="33">
        <v>36</v>
      </c>
      <c r="BM43" s="33">
        <v>14.45</v>
      </c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</row>
    <row r="44" spans="1:100" ht="15.75" customHeight="1">
      <c r="A44" s="33"/>
      <c r="B44" s="33">
        <v>19</v>
      </c>
      <c r="C44" s="33" t="s">
        <v>111</v>
      </c>
      <c r="D44" s="34">
        <v>40</v>
      </c>
      <c r="E44" s="34">
        <v>4</v>
      </c>
      <c r="F44" s="34">
        <v>44</v>
      </c>
      <c r="G44" s="33">
        <v>0.51</v>
      </c>
      <c r="H44" s="33" t="s">
        <v>87</v>
      </c>
      <c r="I44" s="33" t="s">
        <v>84</v>
      </c>
      <c r="J44" s="33" t="s">
        <v>84</v>
      </c>
      <c r="K44" s="34">
        <v>50.45</v>
      </c>
      <c r="L44" s="33"/>
      <c r="M44" s="33" t="s">
        <v>84</v>
      </c>
      <c r="N44" s="33" t="s">
        <v>84</v>
      </c>
      <c r="O44" s="33">
        <v>50.79</v>
      </c>
      <c r="P44" s="33">
        <v>57.43</v>
      </c>
      <c r="Q44" s="33">
        <v>62.66</v>
      </c>
      <c r="R44" s="33">
        <v>0.75</v>
      </c>
      <c r="S44" s="33">
        <f>1.3+R44*(2.3-1.3)</f>
        <v>2.0499999999999998</v>
      </c>
      <c r="T44" s="35">
        <f>D44+S44</f>
        <v>42.05</v>
      </c>
      <c r="U44" s="33" t="s">
        <v>84</v>
      </c>
      <c r="V44" s="34" t="s">
        <v>84</v>
      </c>
      <c r="W44" s="33" t="s">
        <v>84</v>
      </c>
      <c r="X44" s="34" t="s">
        <v>84</v>
      </c>
      <c r="Y44" s="33" t="s">
        <v>88</v>
      </c>
      <c r="Z44" s="33" t="s">
        <v>88</v>
      </c>
      <c r="AA44" s="33">
        <v>0</v>
      </c>
      <c r="AB44" s="34">
        <v>28.14</v>
      </c>
      <c r="AC44" s="34">
        <f t="shared" si="6"/>
        <v>24.11</v>
      </c>
      <c r="AD44" s="33">
        <v>3</v>
      </c>
      <c r="AE44" s="33" t="s">
        <v>84</v>
      </c>
      <c r="AF44" s="33" t="s">
        <v>84</v>
      </c>
      <c r="AG44" s="33" t="s">
        <v>84</v>
      </c>
      <c r="AH44" s="33"/>
      <c r="AI44" s="33" t="s">
        <v>84</v>
      </c>
      <c r="AJ44" s="33" t="s">
        <v>84</v>
      </c>
      <c r="AK44" s="33" t="s">
        <v>84</v>
      </c>
      <c r="AL44" s="33"/>
      <c r="AM44" s="33" t="s">
        <v>84</v>
      </c>
      <c r="AN44" s="33" t="s">
        <v>84</v>
      </c>
      <c r="AO44" s="33" t="s">
        <v>84</v>
      </c>
      <c r="AP44" s="33"/>
      <c r="AQ44" s="33" t="s">
        <v>84</v>
      </c>
      <c r="AR44" s="33" t="s">
        <v>84</v>
      </c>
      <c r="AS44" s="33" t="s">
        <v>84</v>
      </c>
      <c r="AT44" s="34" t="s">
        <v>100</v>
      </c>
      <c r="AU44" s="33" t="s">
        <v>84</v>
      </c>
      <c r="AV44" s="33" t="s">
        <v>84</v>
      </c>
      <c r="AW44" s="33" t="s">
        <v>84</v>
      </c>
      <c r="AX44" s="33" t="s">
        <v>104</v>
      </c>
      <c r="AY44" s="33" t="s">
        <v>84</v>
      </c>
      <c r="AZ44" s="33" t="s">
        <v>84</v>
      </c>
      <c r="BA44" s="33" t="s">
        <v>84</v>
      </c>
      <c r="BB44" s="33"/>
      <c r="BC44" s="33" t="s">
        <v>84</v>
      </c>
      <c r="BD44" s="33" t="s">
        <v>84</v>
      </c>
      <c r="BE44" s="33" t="s">
        <v>84</v>
      </c>
      <c r="BF44" s="34" t="s">
        <v>108</v>
      </c>
      <c r="BG44" s="33" t="s">
        <v>84</v>
      </c>
      <c r="BH44" s="33" t="s">
        <v>84</v>
      </c>
      <c r="BI44" s="33" t="s">
        <v>84</v>
      </c>
      <c r="BJ44" s="33"/>
      <c r="BK44" s="33" t="s">
        <v>89</v>
      </c>
      <c r="BL44" s="33">
        <v>36</v>
      </c>
      <c r="BM44" s="33">
        <v>14.45</v>
      </c>
      <c r="BN44" s="33"/>
      <c r="BO44" s="33" t="s">
        <v>89</v>
      </c>
      <c r="BP44" s="33">
        <v>40</v>
      </c>
      <c r="BQ44" s="33">
        <v>2.0499999999999998</v>
      </c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</row>
    <row r="45" spans="1:100" ht="15.75" customHeight="1">
      <c r="A45" s="33"/>
      <c r="B45" s="33">
        <v>20</v>
      </c>
      <c r="C45" s="33" t="s">
        <v>112</v>
      </c>
      <c r="D45" s="34">
        <v>42.05</v>
      </c>
      <c r="E45" s="34" t="s">
        <v>84</v>
      </c>
      <c r="F45" s="35">
        <v>44</v>
      </c>
      <c r="G45" s="33" t="s">
        <v>84</v>
      </c>
      <c r="H45" s="34" t="s">
        <v>84</v>
      </c>
      <c r="I45" s="33" t="s">
        <v>84</v>
      </c>
      <c r="J45" s="33" t="s">
        <v>84</v>
      </c>
      <c r="K45" s="34">
        <v>50.45</v>
      </c>
      <c r="L45" s="33" t="s">
        <v>84</v>
      </c>
      <c r="M45" s="33" t="s">
        <v>84</v>
      </c>
      <c r="N45" s="34" t="s">
        <v>84</v>
      </c>
      <c r="O45" s="33">
        <v>50.79</v>
      </c>
      <c r="P45" s="33">
        <v>57.43</v>
      </c>
      <c r="Q45" s="33">
        <v>62.66</v>
      </c>
      <c r="R45" s="34" t="s">
        <v>84</v>
      </c>
      <c r="S45" s="33" t="s">
        <v>84</v>
      </c>
      <c r="T45" s="33" t="s">
        <v>84</v>
      </c>
      <c r="U45" s="33" t="s">
        <v>84</v>
      </c>
      <c r="V45" s="34" t="s">
        <v>84</v>
      </c>
      <c r="W45" s="33" t="s">
        <v>84</v>
      </c>
      <c r="X45" s="34" t="s">
        <v>84</v>
      </c>
      <c r="Y45" s="33" t="s">
        <v>88</v>
      </c>
      <c r="Z45" s="33" t="s">
        <v>85</v>
      </c>
      <c r="AA45" s="33">
        <v>0</v>
      </c>
      <c r="AB45" s="34">
        <v>28.14</v>
      </c>
      <c r="AC45" s="34">
        <v>24.11</v>
      </c>
      <c r="AD45" s="33">
        <v>3</v>
      </c>
      <c r="AE45" s="33" t="s">
        <v>84</v>
      </c>
      <c r="AF45" s="33" t="s">
        <v>84</v>
      </c>
      <c r="AG45" s="33" t="s">
        <v>84</v>
      </c>
      <c r="AH45" s="33"/>
      <c r="AI45" s="33" t="s">
        <v>84</v>
      </c>
      <c r="AJ45" s="33" t="s">
        <v>84</v>
      </c>
      <c r="AK45" s="33" t="s">
        <v>84</v>
      </c>
      <c r="AL45" s="33"/>
      <c r="AM45" s="33" t="s">
        <v>84</v>
      </c>
      <c r="AN45" s="33" t="s">
        <v>84</v>
      </c>
      <c r="AO45" s="33" t="s">
        <v>84</v>
      </c>
      <c r="AP45" s="33"/>
      <c r="AQ45" s="33" t="s">
        <v>84</v>
      </c>
      <c r="AR45" s="33" t="s">
        <v>84</v>
      </c>
      <c r="AS45" s="33" t="s">
        <v>84</v>
      </c>
      <c r="AT45" s="33" t="s">
        <v>100</v>
      </c>
      <c r="AU45" s="33" t="s">
        <v>84</v>
      </c>
      <c r="AV45" s="33" t="s">
        <v>84</v>
      </c>
      <c r="AW45" s="33" t="s">
        <v>84</v>
      </c>
      <c r="AX45" s="33" t="s">
        <v>104</v>
      </c>
      <c r="AY45" s="33" t="s">
        <v>84</v>
      </c>
      <c r="AZ45" s="33" t="s">
        <v>84</v>
      </c>
      <c r="BA45" s="33" t="s">
        <v>84</v>
      </c>
      <c r="BB45" s="33"/>
      <c r="BC45" s="33" t="s">
        <v>84</v>
      </c>
      <c r="BD45" s="33" t="s">
        <v>84</v>
      </c>
      <c r="BE45" s="33" t="s">
        <v>84</v>
      </c>
      <c r="BF45" s="33" t="s">
        <v>108</v>
      </c>
      <c r="BG45" s="33" t="s">
        <v>84</v>
      </c>
      <c r="BH45" s="33" t="s">
        <v>84</v>
      </c>
      <c r="BI45" s="33" t="s">
        <v>84</v>
      </c>
      <c r="BJ45" s="33"/>
      <c r="BK45" s="33" t="s">
        <v>89</v>
      </c>
      <c r="BL45" s="33">
        <v>36</v>
      </c>
      <c r="BM45" s="33">
        <v>14.45</v>
      </c>
      <c r="BN45" s="33"/>
      <c r="BO45" s="38"/>
      <c r="BP45" s="38"/>
      <c r="BQ45" s="33">
        <v>2.0499999999999998</v>
      </c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</row>
    <row r="46" spans="1:100" ht="15.75" customHeight="1">
      <c r="A46" s="33"/>
      <c r="B46" s="33">
        <v>21</v>
      </c>
      <c r="C46" s="33" t="s">
        <v>113</v>
      </c>
      <c r="D46" s="34">
        <v>44</v>
      </c>
      <c r="E46" s="34">
        <v>4</v>
      </c>
      <c r="F46" s="35">
        <v>48</v>
      </c>
      <c r="G46" s="33">
        <v>0.16</v>
      </c>
      <c r="H46" s="33" t="s">
        <v>83</v>
      </c>
      <c r="I46" s="33">
        <v>0.61</v>
      </c>
      <c r="J46" s="34">
        <f>-6*LN(1-I46)</f>
        <v>5.6496512391506695</v>
      </c>
      <c r="K46" s="34">
        <v>50.45</v>
      </c>
      <c r="L46" s="33">
        <v>56.1</v>
      </c>
      <c r="M46" s="33" t="s">
        <v>84</v>
      </c>
      <c r="N46" s="33" t="s">
        <v>84</v>
      </c>
      <c r="O46" s="33">
        <v>50.79</v>
      </c>
      <c r="P46" s="33">
        <v>57.43</v>
      </c>
      <c r="Q46" s="33">
        <v>62.66</v>
      </c>
      <c r="R46" s="33" t="s">
        <v>84</v>
      </c>
      <c r="S46" s="33" t="s">
        <v>84</v>
      </c>
      <c r="T46" s="33" t="s">
        <v>84</v>
      </c>
      <c r="U46" s="33" t="s">
        <v>84</v>
      </c>
      <c r="V46" s="33" t="s">
        <v>84</v>
      </c>
      <c r="W46" s="33" t="s">
        <v>84</v>
      </c>
      <c r="X46" s="33" t="s">
        <v>84</v>
      </c>
      <c r="Y46" s="33" t="s">
        <v>88</v>
      </c>
      <c r="Z46" s="33" t="s">
        <v>85</v>
      </c>
      <c r="AA46" s="33">
        <v>0</v>
      </c>
      <c r="AB46" s="34">
        <f t="shared" ref="AB46:AB47" si="7">AB45+(D46-D45)</f>
        <v>30.090000000000003</v>
      </c>
      <c r="AC46" s="34">
        <f>AC45+(D46-D45)</f>
        <v>26.060000000000002</v>
      </c>
      <c r="AD46" s="33">
        <v>3</v>
      </c>
      <c r="AE46" s="33" t="s">
        <v>84</v>
      </c>
      <c r="AF46" s="33" t="s">
        <v>84</v>
      </c>
      <c r="AG46" s="33" t="s">
        <v>84</v>
      </c>
      <c r="AH46" s="33"/>
      <c r="AI46" s="33" t="s">
        <v>84</v>
      </c>
      <c r="AJ46" s="33" t="s">
        <v>84</v>
      </c>
      <c r="AK46" s="33" t="s">
        <v>84</v>
      </c>
      <c r="AL46" s="33"/>
      <c r="AM46" s="33" t="s">
        <v>84</v>
      </c>
      <c r="AN46" s="33" t="s">
        <v>84</v>
      </c>
      <c r="AO46" s="33" t="s">
        <v>84</v>
      </c>
      <c r="AP46" s="33"/>
      <c r="AQ46" s="33" t="s">
        <v>84</v>
      </c>
      <c r="AR46" s="33" t="s">
        <v>84</v>
      </c>
      <c r="AS46" s="33" t="s">
        <v>84</v>
      </c>
      <c r="AT46" s="33" t="s">
        <v>100</v>
      </c>
      <c r="AU46" s="33" t="s">
        <v>84</v>
      </c>
      <c r="AV46" s="33" t="s">
        <v>84</v>
      </c>
      <c r="AW46" s="33" t="s">
        <v>84</v>
      </c>
      <c r="AX46" s="33" t="s">
        <v>104</v>
      </c>
      <c r="AY46" s="33" t="s">
        <v>84</v>
      </c>
      <c r="AZ46" s="33" t="s">
        <v>84</v>
      </c>
      <c r="BA46" s="33" t="s">
        <v>84</v>
      </c>
      <c r="BB46" s="33"/>
      <c r="BC46" s="33" t="s">
        <v>84</v>
      </c>
      <c r="BD46" s="33" t="s">
        <v>84</v>
      </c>
      <c r="BE46" s="33" t="s">
        <v>84</v>
      </c>
      <c r="BF46" s="33" t="s">
        <v>108</v>
      </c>
      <c r="BG46" s="33" t="s">
        <v>84</v>
      </c>
      <c r="BH46" s="33" t="s">
        <v>84</v>
      </c>
      <c r="BI46" s="33" t="s">
        <v>84</v>
      </c>
      <c r="BJ46" s="33"/>
      <c r="BK46" s="33" t="s">
        <v>89</v>
      </c>
      <c r="BL46" s="33">
        <v>36</v>
      </c>
      <c r="BM46" s="33">
        <v>14.45</v>
      </c>
      <c r="BN46" s="33"/>
      <c r="BO46" s="33" t="s">
        <v>84</v>
      </c>
      <c r="BP46" s="33" t="s">
        <v>84</v>
      </c>
      <c r="BQ46" s="33" t="s">
        <v>84</v>
      </c>
      <c r="BR46" s="33"/>
      <c r="BS46" s="33" t="s">
        <v>89</v>
      </c>
      <c r="BT46" s="33">
        <v>44</v>
      </c>
      <c r="BU46" s="34">
        <v>5.65</v>
      </c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</row>
    <row r="47" spans="1:100" ht="15.75" customHeight="1">
      <c r="A47" s="33"/>
      <c r="B47" s="33">
        <v>22</v>
      </c>
      <c r="C47" s="33" t="s">
        <v>114</v>
      </c>
      <c r="D47" s="34">
        <v>48</v>
      </c>
      <c r="E47" s="34">
        <v>4</v>
      </c>
      <c r="F47" s="34">
        <v>52</v>
      </c>
      <c r="G47" s="33">
        <v>0.92</v>
      </c>
      <c r="H47" s="33" t="s">
        <v>5</v>
      </c>
      <c r="I47" s="33" t="s">
        <v>84</v>
      </c>
      <c r="J47" s="34" t="s">
        <v>84</v>
      </c>
      <c r="K47" s="35">
        <v>50.45</v>
      </c>
      <c r="L47" s="33">
        <v>56.1</v>
      </c>
      <c r="M47" s="33" t="s">
        <v>84</v>
      </c>
      <c r="N47" s="33" t="s">
        <v>84</v>
      </c>
      <c r="O47" s="33">
        <v>50.79</v>
      </c>
      <c r="P47" s="33">
        <v>57.43</v>
      </c>
      <c r="Q47" s="33">
        <v>62.66</v>
      </c>
      <c r="R47" s="33" t="s">
        <v>84</v>
      </c>
      <c r="S47" s="33" t="s">
        <v>84</v>
      </c>
      <c r="T47" s="33" t="s">
        <v>84</v>
      </c>
      <c r="U47" s="33" t="s">
        <v>84</v>
      </c>
      <c r="V47" s="33">
        <v>0.33</v>
      </c>
      <c r="W47" s="33">
        <f>2+V47*(5-2)</f>
        <v>2.99</v>
      </c>
      <c r="X47" s="34">
        <f>W47+D47</f>
        <v>50.99</v>
      </c>
      <c r="Y47" s="33" t="s">
        <v>88</v>
      </c>
      <c r="Z47" s="33" t="s">
        <v>88</v>
      </c>
      <c r="AA47" s="33">
        <v>0</v>
      </c>
      <c r="AB47" s="34">
        <f t="shared" si="7"/>
        <v>34.090000000000003</v>
      </c>
      <c r="AC47" s="34">
        <v>26.06</v>
      </c>
      <c r="AD47" s="33">
        <v>3</v>
      </c>
      <c r="AE47" s="33" t="s">
        <v>84</v>
      </c>
      <c r="AF47" s="33" t="s">
        <v>84</v>
      </c>
      <c r="AG47" s="33" t="s">
        <v>84</v>
      </c>
      <c r="AH47" s="33"/>
      <c r="AI47" s="33" t="s">
        <v>84</v>
      </c>
      <c r="AJ47" s="33" t="s">
        <v>84</v>
      </c>
      <c r="AK47" s="33" t="s">
        <v>84</v>
      </c>
      <c r="AL47" s="33"/>
      <c r="AM47" s="33" t="s">
        <v>84</v>
      </c>
      <c r="AN47" s="33" t="s">
        <v>84</v>
      </c>
      <c r="AO47" s="33" t="s">
        <v>84</v>
      </c>
      <c r="AP47" s="33"/>
      <c r="AQ47" s="33" t="s">
        <v>84</v>
      </c>
      <c r="AR47" s="33" t="s">
        <v>84</v>
      </c>
      <c r="AS47" s="33" t="s">
        <v>84</v>
      </c>
      <c r="AT47" s="34" t="s">
        <v>100</v>
      </c>
      <c r="AU47" s="33" t="s">
        <v>84</v>
      </c>
      <c r="AV47" s="33" t="s">
        <v>84</v>
      </c>
      <c r="AW47" s="33" t="s">
        <v>84</v>
      </c>
      <c r="AX47" s="33" t="s">
        <v>104</v>
      </c>
      <c r="AY47" s="33" t="s">
        <v>84</v>
      </c>
      <c r="AZ47" s="33" t="s">
        <v>84</v>
      </c>
      <c r="BA47" s="33" t="s">
        <v>84</v>
      </c>
      <c r="BB47" s="33"/>
      <c r="BC47" s="33" t="s">
        <v>84</v>
      </c>
      <c r="BD47" s="33" t="s">
        <v>84</v>
      </c>
      <c r="BE47" s="33" t="s">
        <v>84</v>
      </c>
      <c r="BF47" s="34" t="s">
        <v>108</v>
      </c>
      <c r="BG47" s="33" t="s">
        <v>84</v>
      </c>
      <c r="BH47" s="33" t="s">
        <v>84</v>
      </c>
      <c r="BI47" s="33" t="s">
        <v>84</v>
      </c>
      <c r="BJ47" s="33"/>
      <c r="BK47" s="33" t="s">
        <v>89</v>
      </c>
      <c r="BL47" s="33">
        <v>36</v>
      </c>
      <c r="BM47" s="33">
        <v>14.45</v>
      </c>
      <c r="BN47" s="33"/>
      <c r="BO47" s="33" t="s">
        <v>84</v>
      </c>
      <c r="BP47" s="33" t="s">
        <v>84</v>
      </c>
      <c r="BQ47" s="33" t="s">
        <v>84</v>
      </c>
      <c r="BR47" s="33"/>
      <c r="BS47" s="33" t="s">
        <v>89</v>
      </c>
      <c r="BT47" s="33">
        <v>44</v>
      </c>
      <c r="BU47" s="33">
        <v>5.65</v>
      </c>
      <c r="BV47" s="33"/>
      <c r="BW47" s="33" t="s">
        <v>115</v>
      </c>
      <c r="BX47" s="33">
        <v>48</v>
      </c>
      <c r="BY47" s="33">
        <v>2.99</v>
      </c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</row>
    <row r="48" spans="1:100" ht="15.75" customHeight="1">
      <c r="A48" s="33"/>
      <c r="B48" s="33">
        <v>23</v>
      </c>
      <c r="C48" s="33" t="s">
        <v>116</v>
      </c>
      <c r="D48" s="34">
        <v>50.45</v>
      </c>
      <c r="E48" s="34" t="s">
        <v>84</v>
      </c>
      <c r="F48" s="34">
        <v>52</v>
      </c>
      <c r="G48" s="33" t="s">
        <v>84</v>
      </c>
      <c r="H48" s="33" t="s">
        <v>84</v>
      </c>
      <c r="I48" s="33" t="s">
        <v>84</v>
      </c>
      <c r="J48" s="34" t="s">
        <v>84</v>
      </c>
      <c r="K48" s="33" t="s">
        <v>84</v>
      </c>
      <c r="L48" s="33">
        <v>56.1</v>
      </c>
      <c r="M48" s="33">
        <v>0.41</v>
      </c>
      <c r="N48" s="33" t="s">
        <v>91</v>
      </c>
      <c r="O48" s="36">
        <v>50.79</v>
      </c>
      <c r="P48" s="33">
        <v>57.43</v>
      </c>
      <c r="Q48" s="33">
        <v>62.66</v>
      </c>
      <c r="R48" s="33" t="s">
        <v>84</v>
      </c>
      <c r="S48" s="33" t="s">
        <v>84</v>
      </c>
      <c r="T48" s="33" t="s">
        <v>84</v>
      </c>
      <c r="U48" s="33" t="s">
        <v>84</v>
      </c>
      <c r="V48" s="33" t="s">
        <v>84</v>
      </c>
      <c r="W48" s="33" t="s">
        <v>84</v>
      </c>
      <c r="X48" s="33">
        <v>50.99</v>
      </c>
      <c r="Y48" s="33" t="s">
        <v>88</v>
      </c>
      <c r="Z48" s="33" t="s">
        <v>88</v>
      </c>
      <c r="AA48" s="33">
        <v>0</v>
      </c>
      <c r="AB48" s="34">
        <v>34.090000000000003</v>
      </c>
      <c r="AC48" s="34">
        <v>26.06</v>
      </c>
      <c r="AD48" s="33">
        <v>3</v>
      </c>
      <c r="AE48" s="33" t="s">
        <v>84</v>
      </c>
      <c r="AF48" s="33" t="s">
        <v>84</v>
      </c>
      <c r="AG48" s="33" t="s">
        <v>84</v>
      </c>
      <c r="AH48" s="33"/>
      <c r="AI48" s="33" t="s">
        <v>84</v>
      </c>
      <c r="AJ48" s="33" t="s">
        <v>84</v>
      </c>
      <c r="AK48" s="33" t="s">
        <v>84</v>
      </c>
      <c r="AL48" s="33"/>
      <c r="AM48" s="33" t="s">
        <v>84</v>
      </c>
      <c r="AN48" s="33" t="s">
        <v>84</v>
      </c>
      <c r="AO48" s="33" t="s">
        <v>84</v>
      </c>
      <c r="AP48" s="33"/>
      <c r="AQ48" s="33" t="s">
        <v>84</v>
      </c>
      <c r="AR48" s="33" t="s">
        <v>84</v>
      </c>
      <c r="AS48" s="33" t="s">
        <v>84</v>
      </c>
      <c r="AT48" s="36" t="s">
        <v>100</v>
      </c>
      <c r="AU48" s="33" t="s">
        <v>84</v>
      </c>
      <c r="AV48" s="33" t="s">
        <v>84</v>
      </c>
      <c r="AW48" s="33" t="s">
        <v>84</v>
      </c>
      <c r="AX48" s="33" t="s">
        <v>104</v>
      </c>
      <c r="AY48" s="33" t="s">
        <v>84</v>
      </c>
      <c r="AZ48" s="33" t="s">
        <v>84</v>
      </c>
      <c r="BA48" s="33" t="s">
        <v>84</v>
      </c>
      <c r="BB48" s="33"/>
      <c r="BC48" s="33" t="s">
        <v>84</v>
      </c>
      <c r="BD48" s="33" t="s">
        <v>84</v>
      </c>
      <c r="BE48" s="33" t="s">
        <v>84</v>
      </c>
      <c r="BF48" s="33" t="s">
        <v>108</v>
      </c>
      <c r="BG48" s="33" t="s">
        <v>84</v>
      </c>
      <c r="BH48" s="33" t="s">
        <v>84</v>
      </c>
      <c r="BI48" s="33" t="s">
        <v>84</v>
      </c>
      <c r="BJ48" s="33"/>
      <c r="BK48" s="38"/>
      <c r="BL48" s="38"/>
      <c r="BM48" s="33">
        <v>14.45</v>
      </c>
      <c r="BN48" s="33"/>
      <c r="BO48" s="33" t="s">
        <v>84</v>
      </c>
      <c r="BP48" s="33" t="s">
        <v>84</v>
      </c>
      <c r="BQ48" s="33" t="s">
        <v>84</v>
      </c>
      <c r="BR48" s="33"/>
      <c r="BS48" s="33" t="s">
        <v>89</v>
      </c>
      <c r="BT48" s="33">
        <v>44</v>
      </c>
      <c r="BU48" s="33">
        <v>5.65</v>
      </c>
      <c r="BV48" s="33"/>
      <c r="BW48" s="33" t="s">
        <v>89</v>
      </c>
      <c r="BX48" s="33">
        <v>48</v>
      </c>
      <c r="BY48" s="33">
        <v>2.99</v>
      </c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</row>
    <row r="49" spans="1:100" ht="15.75" customHeight="1">
      <c r="A49" s="33"/>
      <c r="B49" s="33">
        <v>24</v>
      </c>
      <c r="C49" s="33" t="s">
        <v>117</v>
      </c>
      <c r="D49" s="34">
        <v>50.79</v>
      </c>
      <c r="E49" s="34" t="s">
        <v>84</v>
      </c>
      <c r="F49" s="34">
        <v>52</v>
      </c>
      <c r="G49" s="33" t="s">
        <v>84</v>
      </c>
      <c r="H49" s="33" t="s">
        <v>84</v>
      </c>
      <c r="I49" s="33" t="s">
        <v>84</v>
      </c>
      <c r="J49" s="34" t="s">
        <v>84</v>
      </c>
      <c r="K49" s="33" t="s">
        <v>84</v>
      </c>
      <c r="L49" s="33">
        <v>56.1</v>
      </c>
      <c r="M49" s="33" t="s">
        <v>84</v>
      </c>
      <c r="N49" s="33" t="s">
        <v>84</v>
      </c>
      <c r="O49" s="33" t="s">
        <v>84</v>
      </c>
      <c r="P49" s="33">
        <v>57.43</v>
      </c>
      <c r="Q49" s="33">
        <v>62.66</v>
      </c>
      <c r="R49" s="33" t="s">
        <v>84</v>
      </c>
      <c r="S49" s="33" t="s">
        <v>84</v>
      </c>
      <c r="T49" s="33" t="s">
        <v>84</v>
      </c>
      <c r="U49" s="33" t="s">
        <v>84</v>
      </c>
      <c r="V49" s="33" t="s">
        <v>84</v>
      </c>
      <c r="W49" s="33" t="s">
        <v>84</v>
      </c>
      <c r="X49" s="36">
        <v>50.99</v>
      </c>
      <c r="Y49" s="33" t="s">
        <v>88</v>
      </c>
      <c r="Z49" s="33" t="s">
        <v>88</v>
      </c>
      <c r="AA49" s="33">
        <v>0</v>
      </c>
      <c r="AB49" s="34">
        <v>34.090000000000003</v>
      </c>
      <c r="AC49" s="34">
        <v>26.06</v>
      </c>
      <c r="AD49" s="33">
        <v>2</v>
      </c>
      <c r="AE49" s="33" t="s">
        <v>84</v>
      </c>
      <c r="AF49" s="33" t="s">
        <v>84</v>
      </c>
      <c r="AG49" s="33" t="s">
        <v>84</v>
      </c>
      <c r="AH49" s="33"/>
      <c r="AI49" s="33" t="s">
        <v>84</v>
      </c>
      <c r="AJ49" s="33" t="s">
        <v>84</v>
      </c>
      <c r="AK49" s="33" t="s">
        <v>84</v>
      </c>
      <c r="AL49" s="33"/>
      <c r="AM49" s="33" t="s">
        <v>84</v>
      </c>
      <c r="AN49" s="33" t="s">
        <v>84</v>
      </c>
      <c r="AO49" s="33" t="s">
        <v>84</v>
      </c>
      <c r="AP49" s="33"/>
      <c r="AQ49" s="33" t="s">
        <v>84</v>
      </c>
      <c r="AR49" s="33" t="s">
        <v>84</v>
      </c>
      <c r="AS49" s="33" t="s">
        <v>84</v>
      </c>
      <c r="AT49" s="33"/>
      <c r="AU49" s="33" t="s">
        <v>84</v>
      </c>
      <c r="AV49" s="33" t="s">
        <v>84</v>
      </c>
      <c r="AW49" s="33" t="s">
        <v>84</v>
      </c>
      <c r="AX49" s="33" t="s">
        <v>104</v>
      </c>
      <c r="AY49" s="33" t="s">
        <v>84</v>
      </c>
      <c r="AZ49" s="33" t="s">
        <v>84</v>
      </c>
      <c r="BA49" s="33" t="s">
        <v>84</v>
      </c>
      <c r="BB49" s="33"/>
      <c r="BC49" s="33" t="s">
        <v>84</v>
      </c>
      <c r="BD49" s="33" t="s">
        <v>84</v>
      </c>
      <c r="BE49" s="33" t="s">
        <v>84</v>
      </c>
      <c r="BF49" s="33" t="s">
        <v>108</v>
      </c>
      <c r="BG49" s="33" t="s">
        <v>84</v>
      </c>
      <c r="BH49" s="33" t="s">
        <v>84</v>
      </c>
      <c r="BI49" s="33" t="s">
        <v>84</v>
      </c>
      <c r="BJ49" s="33"/>
      <c r="BK49" s="33" t="s">
        <v>84</v>
      </c>
      <c r="BL49" s="33" t="s">
        <v>84</v>
      </c>
      <c r="BM49" s="33" t="s">
        <v>84</v>
      </c>
      <c r="BN49" s="33"/>
      <c r="BO49" s="33" t="s">
        <v>84</v>
      </c>
      <c r="BP49" s="33" t="s">
        <v>84</v>
      </c>
      <c r="BQ49" s="33" t="s">
        <v>84</v>
      </c>
      <c r="BR49" s="33"/>
      <c r="BS49" s="33" t="s">
        <v>89</v>
      </c>
      <c r="BT49" s="33">
        <v>44</v>
      </c>
      <c r="BU49" s="33">
        <v>5.65</v>
      </c>
      <c r="BV49" s="33"/>
      <c r="BW49" s="33" t="s">
        <v>89</v>
      </c>
      <c r="BX49" s="33">
        <v>48</v>
      </c>
      <c r="BY49" s="33">
        <v>2.99</v>
      </c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</row>
    <row r="50" spans="1:100" ht="15.75" customHeight="1">
      <c r="A50" s="33"/>
      <c r="B50" s="33">
        <v>25</v>
      </c>
      <c r="C50" s="33" t="s">
        <v>118</v>
      </c>
      <c r="D50" s="34">
        <v>50.99</v>
      </c>
      <c r="E50" s="34" t="s">
        <v>84</v>
      </c>
      <c r="F50" s="35">
        <v>52</v>
      </c>
      <c r="G50" s="33" t="s">
        <v>84</v>
      </c>
      <c r="H50" s="33" t="s">
        <v>84</v>
      </c>
      <c r="I50" s="33" t="s">
        <v>84</v>
      </c>
      <c r="J50" s="34" t="s">
        <v>84</v>
      </c>
      <c r="K50" s="33" t="s">
        <v>84</v>
      </c>
      <c r="L50" s="33">
        <v>56.1</v>
      </c>
      <c r="M50" s="33" t="s">
        <v>84</v>
      </c>
      <c r="N50" s="33" t="s">
        <v>84</v>
      </c>
      <c r="O50" s="33" t="s">
        <v>84</v>
      </c>
      <c r="P50" s="33">
        <v>57.43</v>
      </c>
      <c r="Q50" s="33">
        <v>62.66</v>
      </c>
      <c r="R50" s="33"/>
      <c r="S50" s="33"/>
      <c r="T50" s="33"/>
      <c r="U50" s="33" t="s">
        <v>84</v>
      </c>
      <c r="V50" s="33" t="s">
        <v>84</v>
      </c>
      <c r="W50" s="33" t="s">
        <v>84</v>
      </c>
      <c r="X50" s="33" t="s">
        <v>84</v>
      </c>
      <c r="Y50" s="33" t="s">
        <v>85</v>
      </c>
      <c r="Z50" s="33" t="s">
        <v>88</v>
      </c>
      <c r="AA50" s="33">
        <v>0</v>
      </c>
      <c r="AB50" s="34">
        <v>34.090000000000003</v>
      </c>
      <c r="AC50" s="34">
        <v>26.06</v>
      </c>
      <c r="AD50" s="33">
        <v>2</v>
      </c>
      <c r="AE50" s="33" t="s">
        <v>84</v>
      </c>
      <c r="AF50" s="33" t="s">
        <v>84</v>
      </c>
      <c r="AG50" s="33" t="s">
        <v>84</v>
      </c>
      <c r="AH50" s="33"/>
      <c r="AI50" s="33" t="s">
        <v>84</v>
      </c>
      <c r="AJ50" s="33" t="s">
        <v>84</v>
      </c>
      <c r="AK50" s="33" t="s">
        <v>84</v>
      </c>
      <c r="AL50" s="33"/>
      <c r="AM50" s="33" t="s">
        <v>84</v>
      </c>
      <c r="AN50" s="33" t="s">
        <v>84</v>
      </c>
      <c r="AO50" s="33" t="s">
        <v>84</v>
      </c>
      <c r="AP50" s="33"/>
      <c r="AQ50" s="33" t="s">
        <v>84</v>
      </c>
      <c r="AR50" s="33" t="s">
        <v>84</v>
      </c>
      <c r="AS50" s="33" t="s">
        <v>84</v>
      </c>
      <c r="AT50" s="33"/>
      <c r="AU50" s="33" t="s">
        <v>84</v>
      </c>
      <c r="AV50" s="33" t="s">
        <v>84</v>
      </c>
      <c r="AW50" s="33" t="s">
        <v>84</v>
      </c>
      <c r="AX50" s="33" t="s">
        <v>104</v>
      </c>
      <c r="AY50" s="33" t="s">
        <v>84</v>
      </c>
      <c r="AZ50" s="33" t="s">
        <v>84</v>
      </c>
      <c r="BA50" s="33" t="s">
        <v>84</v>
      </c>
      <c r="BB50" s="33"/>
      <c r="BC50" s="33" t="s">
        <v>84</v>
      </c>
      <c r="BD50" s="33" t="s">
        <v>84</v>
      </c>
      <c r="BE50" s="33" t="s">
        <v>84</v>
      </c>
      <c r="BF50" s="34" t="s">
        <v>108</v>
      </c>
      <c r="BG50" s="33" t="s">
        <v>84</v>
      </c>
      <c r="BH50" s="33" t="s">
        <v>84</v>
      </c>
      <c r="BI50" s="33" t="s">
        <v>84</v>
      </c>
      <c r="BJ50" s="33"/>
      <c r="BK50" s="33" t="s">
        <v>84</v>
      </c>
      <c r="BL50" s="33" t="s">
        <v>84</v>
      </c>
      <c r="BM50" s="33" t="s">
        <v>84</v>
      </c>
      <c r="BN50" s="33"/>
      <c r="BO50" s="33" t="s">
        <v>84</v>
      </c>
      <c r="BP50" s="33" t="s">
        <v>84</v>
      </c>
      <c r="BQ50" s="33" t="s">
        <v>84</v>
      </c>
      <c r="BR50" s="33"/>
      <c r="BS50" s="33" t="s">
        <v>89</v>
      </c>
      <c r="BT50" s="33">
        <v>44</v>
      </c>
      <c r="BU50" s="33">
        <v>5.65</v>
      </c>
      <c r="BV50" s="33"/>
      <c r="BW50" s="38"/>
      <c r="BX50" s="38"/>
      <c r="BY50" s="33">
        <v>2.99</v>
      </c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</row>
    <row r="51" spans="1:100" ht="15.75" customHeight="1">
      <c r="A51" s="33"/>
      <c r="B51" s="33">
        <v>26</v>
      </c>
      <c r="C51" s="33" t="s">
        <v>119</v>
      </c>
      <c r="D51" s="34">
        <v>52</v>
      </c>
      <c r="E51" s="34">
        <v>4</v>
      </c>
      <c r="F51" s="34">
        <v>56</v>
      </c>
      <c r="G51" s="33">
        <v>0.53</v>
      </c>
      <c r="H51" s="33" t="s">
        <v>87</v>
      </c>
      <c r="I51" s="33" t="s">
        <v>84</v>
      </c>
      <c r="J51" s="34" t="s">
        <v>84</v>
      </c>
      <c r="K51" s="33" t="s">
        <v>84</v>
      </c>
      <c r="L51" s="33">
        <v>56.1</v>
      </c>
      <c r="M51" s="33"/>
      <c r="N51" s="33"/>
      <c r="O51" s="33"/>
      <c r="P51" s="33">
        <v>57.43</v>
      </c>
      <c r="Q51" s="33">
        <v>62.66</v>
      </c>
      <c r="R51" s="33">
        <v>0.89</v>
      </c>
      <c r="S51" s="33">
        <f>1.3+R51*(2.3-1.3)</f>
        <v>2.19</v>
      </c>
      <c r="T51" s="35">
        <f>S51+D51</f>
        <v>54.19</v>
      </c>
      <c r="U51" s="33" t="s">
        <v>84</v>
      </c>
      <c r="V51" s="33" t="s">
        <v>84</v>
      </c>
      <c r="W51" s="33" t="s">
        <v>84</v>
      </c>
      <c r="X51" s="33" t="s">
        <v>84</v>
      </c>
      <c r="Y51" s="33" t="s">
        <v>88</v>
      </c>
      <c r="Z51" s="33" t="s">
        <v>88</v>
      </c>
      <c r="AA51" s="33">
        <v>0</v>
      </c>
      <c r="AB51" s="34">
        <f>AB50+(D51-D50)</f>
        <v>35.1</v>
      </c>
      <c r="AC51" s="34">
        <v>26.06</v>
      </c>
      <c r="AD51" s="33">
        <v>2</v>
      </c>
      <c r="AE51" s="33" t="s">
        <v>84</v>
      </c>
      <c r="AF51" s="33" t="s">
        <v>84</v>
      </c>
      <c r="AG51" s="33" t="s">
        <v>84</v>
      </c>
      <c r="AH51" s="33"/>
      <c r="AI51" s="33" t="s">
        <v>84</v>
      </c>
      <c r="AJ51" s="33" t="s">
        <v>84</v>
      </c>
      <c r="AK51" s="33" t="s">
        <v>84</v>
      </c>
      <c r="AL51" s="33"/>
      <c r="AM51" s="33" t="s">
        <v>84</v>
      </c>
      <c r="AN51" s="33" t="s">
        <v>84</v>
      </c>
      <c r="AO51" s="33" t="s">
        <v>84</v>
      </c>
      <c r="AP51" s="33"/>
      <c r="AQ51" s="33" t="s">
        <v>84</v>
      </c>
      <c r="AR51" s="33" t="s">
        <v>84</v>
      </c>
      <c r="AS51" s="33" t="s">
        <v>84</v>
      </c>
      <c r="AT51" s="33"/>
      <c r="AU51" s="33" t="s">
        <v>84</v>
      </c>
      <c r="AV51" s="33" t="s">
        <v>84</v>
      </c>
      <c r="AW51" s="33" t="s">
        <v>84</v>
      </c>
      <c r="AX51" s="33" t="s">
        <v>104</v>
      </c>
      <c r="AY51" s="33" t="s">
        <v>84</v>
      </c>
      <c r="AZ51" s="33" t="s">
        <v>84</v>
      </c>
      <c r="BA51" s="33" t="s">
        <v>84</v>
      </c>
      <c r="BB51" s="33"/>
      <c r="BC51" s="33" t="s">
        <v>84</v>
      </c>
      <c r="BD51" s="33" t="s">
        <v>84</v>
      </c>
      <c r="BE51" s="33" t="s">
        <v>84</v>
      </c>
      <c r="BF51" s="33" t="s">
        <v>108</v>
      </c>
      <c r="BG51" s="33" t="s">
        <v>84</v>
      </c>
      <c r="BH51" s="33" t="s">
        <v>84</v>
      </c>
      <c r="BI51" s="33" t="s">
        <v>84</v>
      </c>
      <c r="BJ51" s="33"/>
      <c r="BK51" s="33" t="s">
        <v>84</v>
      </c>
      <c r="BL51" s="33" t="s">
        <v>84</v>
      </c>
      <c r="BM51" s="33" t="s">
        <v>84</v>
      </c>
      <c r="BN51" s="33"/>
      <c r="BO51" s="33" t="s">
        <v>84</v>
      </c>
      <c r="BP51" s="33" t="s">
        <v>84</v>
      </c>
      <c r="BQ51" s="33" t="s">
        <v>84</v>
      </c>
      <c r="BR51" s="33"/>
      <c r="BS51" s="33" t="s">
        <v>89</v>
      </c>
      <c r="BT51" s="33">
        <v>44</v>
      </c>
      <c r="BU51" s="33">
        <v>5.65</v>
      </c>
      <c r="BV51" s="33"/>
      <c r="BW51" s="33" t="s">
        <v>84</v>
      </c>
      <c r="BX51" s="33" t="s">
        <v>84</v>
      </c>
      <c r="BY51" s="33" t="s">
        <v>84</v>
      </c>
      <c r="BZ51" s="33" t="s">
        <v>89</v>
      </c>
      <c r="CA51" s="33">
        <v>52</v>
      </c>
      <c r="CB51" s="33">
        <v>2.19</v>
      </c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</row>
    <row r="52" spans="1:100" ht="15.75" customHeight="1">
      <c r="A52" s="33"/>
      <c r="B52" s="33">
        <v>27</v>
      </c>
      <c r="C52" s="33" t="s">
        <v>120</v>
      </c>
      <c r="D52" s="34">
        <v>54.19</v>
      </c>
      <c r="E52" s="34" t="s">
        <v>84</v>
      </c>
      <c r="F52" s="35">
        <v>56</v>
      </c>
      <c r="G52" s="33" t="s">
        <v>84</v>
      </c>
      <c r="H52" s="33" t="s">
        <v>84</v>
      </c>
      <c r="I52" s="33" t="s">
        <v>84</v>
      </c>
      <c r="J52" s="34" t="s">
        <v>84</v>
      </c>
      <c r="K52" s="33" t="s">
        <v>84</v>
      </c>
      <c r="L52" s="33">
        <v>56.1</v>
      </c>
      <c r="M52" s="33" t="s">
        <v>84</v>
      </c>
      <c r="N52" s="33" t="s">
        <v>84</v>
      </c>
      <c r="O52" s="33" t="s">
        <v>84</v>
      </c>
      <c r="P52" s="33">
        <v>57.43</v>
      </c>
      <c r="Q52" s="33">
        <v>62.66</v>
      </c>
      <c r="R52" s="33" t="s">
        <v>84</v>
      </c>
      <c r="S52" s="33" t="s">
        <v>84</v>
      </c>
      <c r="T52" s="33" t="s">
        <v>84</v>
      </c>
      <c r="U52" s="33" t="s">
        <v>84</v>
      </c>
      <c r="V52" s="33" t="s">
        <v>84</v>
      </c>
      <c r="W52" s="33" t="s">
        <v>84</v>
      </c>
      <c r="X52" s="33" t="s">
        <v>84</v>
      </c>
      <c r="Y52" s="33" t="s">
        <v>88</v>
      </c>
      <c r="Z52" s="33" t="s">
        <v>85</v>
      </c>
      <c r="AA52" s="33">
        <v>0</v>
      </c>
      <c r="AB52" s="34">
        <v>35.1</v>
      </c>
      <c r="AC52" s="34">
        <v>26.06</v>
      </c>
      <c r="AD52" s="33">
        <v>2</v>
      </c>
      <c r="AE52" s="33" t="s">
        <v>84</v>
      </c>
      <c r="AF52" s="33" t="s">
        <v>84</v>
      </c>
      <c r="AG52" s="33" t="s">
        <v>84</v>
      </c>
      <c r="AH52" s="33"/>
      <c r="AI52" s="33" t="s">
        <v>84</v>
      </c>
      <c r="AJ52" s="33" t="s">
        <v>84</v>
      </c>
      <c r="AK52" s="33" t="s">
        <v>84</v>
      </c>
      <c r="AL52" s="33"/>
      <c r="AM52" s="33" t="s">
        <v>84</v>
      </c>
      <c r="AN52" s="33" t="s">
        <v>84</v>
      </c>
      <c r="AO52" s="33" t="s">
        <v>84</v>
      </c>
      <c r="AP52" s="33"/>
      <c r="AQ52" s="33" t="s">
        <v>84</v>
      </c>
      <c r="AR52" s="33" t="s">
        <v>84</v>
      </c>
      <c r="AS52" s="33" t="s">
        <v>84</v>
      </c>
      <c r="AT52" s="33"/>
      <c r="AU52" s="33" t="s">
        <v>84</v>
      </c>
      <c r="AV52" s="33" t="s">
        <v>84</v>
      </c>
      <c r="AW52" s="33" t="s">
        <v>84</v>
      </c>
      <c r="AX52" s="33" t="s">
        <v>104</v>
      </c>
      <c r="AY52" s="33" t="s">
        <v>84</v>
      </c>
      <c r="AZ52" s="33" t="s">
        <v>84</v>
      </c>
      <c r="BA52" s="33" t="s">
        <v>84</v>
      </c>
      <c r="BB52" s="33"/>
      <c r="BC52" s="33" t="s">
        <v>84</v>
      </c>
      <c r="BD52" s="33" t="s">
        <v>84</v>
      </c>
      <c r="BE52" s="33" t="s">
        <v>84</v>
      </c>
      <c r="BF52" s="33" t="s">
        <v>108</v>
      </c>
      <c r="BG52" s="33" t="s">
        <v>84</v>
      </c>
      <c r="BH52" s="33" t="s">
        <v>84</v>
      </c>
      <c r="BI52" s="33" t="s">
        <v>84</v>
      </c>
      <c r="BJ52" s="33"/>
      <c r="BK52" s="33" t="s">
        <v>84</v>
      </c>
      <c r="BL52" s="33" t="s">
        <v>84</v>
      </c>
      <c r="BM52" s="33" t="s">
        <v>84</v>
      </c>
      <c r="BN52" s="33"/>
      <c r="BO52" s="33" t="s">
        <v>84</v>
      </c>
      <c r="BP52" s="33" t="s">
        <v>84</v>
      </c>
      <c r="BQ52" s="33" t="s">
        <v>84</v>
      </c>
      <c r="BR52" s="33"/>
      <c r="BS52" s="33" t="s">
        <v>89</v>
      </c>
      <c r="BT52" s="33">
        <v>44</v>
      </c>
      <c r="BU52" s="33">
        <v>5.65</v>
      </c>
      <c r="BV52" s="33"/>
      <c r="BW52" s="33" t="s">
        <v>84</v>
      </c>
      <c r="BX52" s="33" t="s">
        <v>84</v>
      </c>
      <c r="BY52" s="33" t="s">
        <v>84</v>
      </c>
      <c r="BZ52" s="38"/>
      <c r="CA52" s="38"/>
      <c r="CB52" s="33">
        <v>2.19</v>
      </c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</row>
    <row r="53" spans="1:100" ht="15.75" customHeight="1">
      <c r="A53" s="33"/>
      <c r="B53" s="33">
        <v>28</v>
      </c>
      <c r="C53" s="33" t="s">
        <v>121</v>
      </c>
      <c r="D53" s="34">
        <v>56</v>
      </c>
      <c r="E53" s="34">
        <v>4</v>
      </c>
      <c r="F53" s="34">
        <v>60</v>
      </c>
      <c r="G53" s="33">
        <v>0.09</v>
      </c>
      <c r="H53" s="33" t="s">
        <v>83</v>
      </c>
      <c r="I53" s="33">
        <v>0.22</v>
      </c>
      <c r="J53" s="34">
        <f>-6*LN(1-I53)</f>
        <v>1.4907681557909975</v>
      </c>
      <c r="K53" s="34">
        <f>J53+D53</f>
        <v>57.490768155790995</v>
      </c>
      <c r="L53" s="36">
        <v>56.1</v>
      </c>
      <c r="M53" s="33"/>
      <c r="N53" s="33"/>
      <c r="O53" s="33"/>
      <c r="P53" s="33">
        <v>57.43</v>
      </c>
      <c r="Q53" s="33">
        <v>62.66</v>
      </c>
      <c r="R53" s="33" t="s">
        <v>84</v>
      </c>
      <c r="S53" s="33" t="s">
        <v>84</v>
      </c>
      <c r="T53" s="33" t="s">
        <v>84</v>
      </c>
      <c r="U53" s="33" t="s">
        <v>84</v>
      </c>
      <c r="V53" s="33" t="s">
        <v>84</v>
      </c>
      <c r="W53" s="33" t="s">
        <v>84</v>
      </c>
      <c r="X53" s="33" t="s">
        <v>84</v>
      </c>
      <c r="Y53" s="33" t="s">
        <v>88</v>
      </c>
      <c r="Z53" s="33" t="s">
        <v>88</v>
      </c>
      <c r="AA53" s="33">
        <v>0</v>
      </c>
      <c r="AB53" s="34">
        <f>AB52+(D54-D53)</f>
        <v>35.200000000000003</v>
      </c>
      <c r="AC53" s="34">
        <f t="shared" ref="AC53:AC55" si="8">AC52+(D53-D52)</f>
        <v>27.87</v>
      </c>
      <c r="AD53" s="33">
        <v>2</v>
      </c>
      <c r="AE53" s="33" t="s">
        <v>84</v>
      </c>
      <c r="AF53" s="33" t="s">
        <v>84</v>
      </c>
      <c r="AG53" s="33" t="s">
        <v>84</v>
      </c>
      <c r="AH53" s="33"/>
      <c r="AI53" s="33" t="s">
        <v>84</v>
      </c>
      <c r="AJ53" s="33" t="s">
        <v>84</v>
      </c>
      <c r="AK53" s="33" t="s">
        <v>84</v>
      </c>
      <c r="AL53" s="33"/>
      <c r="AM53" s="33" t="s">
        <v>84</v>
      </c>
      <c r="AN53" s="33" t="s">
        <v>84</v>
      </c>
      <c r="AO53" s="33" t="s">
        <v>84</v>
      </c>
      <c r="AP53" s="33"/>
      <c r="AQ53" s="33" t="s">
        <v>84</v>
      </c>
      <c r="AR53" s="33" t="s">
        <v>84</v>
      </c>
      <c r="AS53" s="33" t="s">
        <v>84</v>
      </c>
      <c r="AT53" s="33"/>
      <c r="AU53" s="33" t="s">
        <v>84</v>
      </c>
      <c r="AV53" s="33" t="s">
        <v>84</v>
      </c>
      <c r="AW53" s="33" t="s">
        <v>84</v>
      </c>
      <c r="AX53" s="33" t="s">
        <v>104</v>
      </c>
      <c r="AY53" s="33" t="s">
        <v>84</v>
      </c>
      <c r="AZ53" s="33" t="s">
        <v>84</v>
      </c>
      <c r="BA53" s="33" t="s">
        <v>84</v>
      </c>
      <c r="BB53" s="33"/>
      <c r="BC53" s="33" t="s">
        <v>84</v>
      </c>
      <c r="BD53" s="33" t="s">
        <v>84</v>
      </c>
      <c r="BE53" s="33" t="s">
        <v>84</v>
      </c>
      <c r="BF53" s="34" t="s">
        <v>108</v>
      </c>
      <c r="BG53" s="33" t="s">
        <v>84</v>
      </c>
      <c r="BH53" s="33" t="s">
        <v>84</v>
      </c>
      <c r="BI53" s="33" t="s">
        <v>84</v>
      </c>
      <c r="BJ53" s="33"/>
      <c r="BK53" s="33" t="s">
        <v>84</v>
      </c>
      <c r="BL53" s="33" t="s">
        <v>84</v>
      </c>
      <c r="BM53" s="33" t="s">
        <v>84</v>
      </c>
      <c r="BN53" s="33"/>
      <c r="BO53" s="33" t="s">
        <v>84</v>
      </c>
      <c r="BP53" s="33" t="s">
        <v>84</v>
      </c>
      <c r="BQ53" s="33" t="s">
        <v>84</v>
      </c>
      <c r="BR53" s="33"/>
      <c r="BS53" s="33" t="s">
        <v>89</v>
      </c>
      <c r="BT53" s="33">
        <v>44</v>
      </c>
      <c r="BU53" s="33">
        <v>5.65</v>
      </c>
      <c r="BV53" s="33"/>
      <c r="BW53" s="33" t="s">
        <v>84</v>
      </c>
      <c r="BX53" s="33" t="s">
        <v>84</v>
      </c>
      <c r="BY53" s="33" t="s">
        <v>84</v>
      </c>
      <c r="BZ53" s="33" t="s">
        <v>84</v>
      </c>
      <c r="CA53" s="33" t="s">
        <v>84</v>
      </c>
      <c r="CB53" s="33" t="s">
        <v>84</v>
      </c>
      <c r="CC53" s="33"/>
      <c r="CD53" s="33" t="s">
        <v>89</v>
      </c>
      <c r="CE53" s="33">
        <v>56</v>
      </c>
      <c r="CF53" s="33">
        <v>1.49</v>
      </c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</row>
    <row r="54" spans="1:100" ht="15.75" customHeight="1">
      <c r="A54" s="33"/>
      <c r="B54" s="33">
        <v>29</v>
      </c>
      <c r="C54" s="33" t="s">
        <v>122</v>
      </c>
      <c r="D54" s="34">
        <v>56.1</v>
      </c>
      <c r="E54" s="34" t="s">
        <v>84</v>
      </c>
      <c r="F54" s="34">
        <v>60</v>
      </c>
      <c r="G54" s="33" t="s">
        <v>84</v>
      </c>
      <c r="H54" s="33" t="s">
        <v>84</v>
      </c>
      <c r="I54" s="33" t="s">
        <v>84</v>
      </c>
      <c r="J54" s="34" t="s">
        <v>84</v>
      </c>
      <c r="K54" s="33" t="s">
        <v>123</v>
      </c>
      <c r="L54" s="33" t="s">
        <v>84</v>
      </c>
      <c r="M54" s="33">
        <v>0.82</v>
      </c>
      <c r="N54" s="33" t="s">
        <v>98</v>
      </c>
      <c r="O54" s="34">
        <f>D54+30</f>
        <v>86.1</v>
      </c>
      <c r="P54" s="36">
        <v>57.43</v>
      </c>
      <c r="Q54" s="33">
        <v>62.66</v>
      </c>
      <c r="R54" s="33" t="s">
        <v>84</v>
      </c>
      <c r="S54" s="33" t="s">
        <v>84</v>
      </c>
      <c r="T54" s="33" t="s">
        <v>84</v>
      </c>
      <c r="U54" s="33" t="s">
        <v>84</v>
      </c>
      <c r="V54" s="33" t="s">
        <v>84</v>
      </c>
      <c r="W54" s="33" t="s">
        <v>84</v>
      </c>
      <c r="X54" s="33" t="s">
        <v>84</v>
      </c>
      <c r="Y54" s="33" t="s">
        <v>88</v>
      </c>
      <c r="Z54" s="33" t="s">
        <v>88</v>
      </c>
      <c r="AA54" s="33">
        <v>0</v>
      </c>
      <c r="AB54" s="34">
        <v>35.200000000000003</v>
      </c>
      <c r="AC54" s="34">
        <f t="shared" si="8"/>
        <v>27.970000000000002</v>
      </c>
      <c r="AD54" s="33">
        <v>3</v>
      </c>
      <c r="AE54" s="33" t="s">
        <v>84</v>
      </c>
      <c r="AF54" s="33" t="s">
        <v>84</v>
      </c>
      <c r="AG54" s="33" t="s">
        <v>84</v>
      </c>
      <c r="AH54" s="33"/>
      <c r="AI54" s="33" t="s">
        <v>84</v>
      </c>
      <c r="AJ54" s="33" t="s">
        <v>84</v>
      </c>
      <c r="AK54" s="33" t="s">
        <v>84</v>
      </c>
      <c r="AL54" s="33"/>
      <c r="AM54" s="33" t="s">
        <v>84</v>
      </c>
      <c r="AN54" s="33" t="s">
        <v>84</v>
      </c>
      <c r="AO54" s="33" t="s">
        <v>84</v>
      </c>
      <c r="AP54" s="33"/>
      <c r="AQ54" s="33" t="s">
        <v>84</v>
      </c>
      <c r="AR54" s="33" t="s">
        <v>84</v>
      </c>
      <c r="AS54" s="33" t="s">
        <v>84</v>
      </c>
      <c r="AT54" s="33"/>
      <c r="AU54" s="33" t="s">
        <v>84</v>
      </c>
      <c r="AV54" s="33" t="s">
        <v>84</v>
      </c>
      <c r="AW54" s="33" t="s">
        <v>84</v>
      </c>
      <c r="AX54" s="36" t="s">
        <v>104</v>
      </c>
      <c r="AY54" s="33" t="s">
        <v>84</v>
      </c>
      <c r="AZ54" s="33" t="s">
        <v>84</v>
      </c>
      <c r="BA54" s="33" t="s">
        <v>84</v>
      </c>
      <c r="BB54" s="33"/>
      <c r="BC54" s="33" t="s">
        <v>84</v>
      </c>
      <c r="BD54" s="33" t="s">
        <v>84</v>
      </c>
      <c r="BE54" s="33" t="s">
        <v>84</v>
      </c>
      <c r="BF54" s="33" t="s">
        <v>108</v>
      </c>
      <c r="BG54" s="33" t="s">
        <v>84</v>
      </c>
      <c r="BH54" s="33" t="s">
        <v>84</v>
      </c>
      <c r="BI54" s="33" t="s">
        <v>84</v>
      </c>
      <c r="BJ54" s="33"/>
      <c r="BK54" s="33" t="s">
        <v>84</v>
      </c>
      <c r="BL54" s="33" t="s">
        <v>84</v>
      </c>
      <c r="BM54" s="33" t="s">
        <v>84</v>
      </c>
      <c r="BN54" s="33"/>
      <c r="BO54" s="33" t="s">
        <v>84</v>
      </c>
      <c r="BP54" s="33" t="s">
        <v>84</v>
      </c>
      <c r="BQ54" s="33" t="s">
        <v>84</v>
      </c>
      <c r="BR54" s="33"/>
      <c r="BS54" s="38" t="s">
        <v>99</v>
      </c>
      <c r="BT54" s="38"/>
      <c r="BU54" s="33">
        <v>5.65</v>
      </c>
      <c r="BV54" s="33" t="s">
        <v>124</v>
      </c>
      <c r="BW54" s="33" t="s">
        <v>84</v>
      </c>
      <c r="BX54" s="33" t="s">
        <v>84</v>
      </c>
      <c r="BY54" s="33" t="s">
        <v>84</v>
      </c>
      <c r="BZ54" s="33" t="s">
        <v>84</v>
      </c>
      <c r="CA54" s="33" t="s">
        <v>84</v>
      </c>
      <c r="CB54" s="33" t="s">
        <v>84</v>
      </c>
      <c r="CC54" s="33"/>
      <c r="CD54" s="33" t="s">
        <v>89</v>
      </c>
      <c r="CE54" s="33">
        <v>56</v>
      </c>
      <c r="CF54" s="33">
        <v>1.49</v>
      </c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</row>
    <row r="55" spans="1:100" ht="15.75" customHeight="1">
      <c r="A55" s="33"/>
      <c r="B55" s="33">
        <v>30</v>
      </c>
      <c r="C55" s="33" t="s">
        <v>125</v>
      </c>
      <c r="D55" s="34">
        <v>57.43</v>
      </c>
      <c r="E55" s="34" t="s">
        <v>84</v>
      </c>
      <c r="F55" s="34">
        <v>60</v>
      </c>
      <c r="G55" s="33" t="s">
        <v>84</v>
      </c>
      <c r="H55" s="33" t="s">
        <v>84</v>
      </c>
      <c r="I55" s="33" t="s">
        <v>84</v>
      </c>
      <c r="J55" s="34" t="s">
        <v>84</v>
      </c>
      <c r="K55" s="36">
        <v>57.49</v>
      </c>
      <c r="L55" s="33" t="s">
        <v>84</v>
      </c>
      <c r="M55" s="33" t="s">
        <v>84</v>
      </c>
      <c r="N55" s="33" t="s">
        <v>84</v>
      </c>
      <c r="O55" s="33">
        <v>86.1</v>
      </c>
      <c r="P55" s="33" t="s">
        <v>84</v>
      </c>
      <c r="Q55" s="33">
        <v>62.66</v>
      </c>
      <c r="R55" s="33"/>
      <c r="S55" s="33"/>
      <c r="T55" s="33"/>
      <c r="U55" s="33" t="s">
        <v>84</v>
      </c>
      <c r="V55" s="33"/>
      <c r="W55" s="33"/>
      <c r="X55" s="33"/>
      <c r="Y55" s="33" t="s">
        <v>88</v>
      </c>
      <c r="Z55" s="33" t="s">
        <v>88</v>
      </c>
      <c r="AA55" s="33">
        <v>0</v>
      </c>
      <c r="AB55" s="34">
        <v>35.200000000000003</v>
      </c>
      <c r="AC55" s="34">
        <f t="shared" si="8"/>
        <v>29.3</v>
      </c>
      <c r="AD55" s="33">
        <v>2</v>
      </c>
      <c r="AE55" s="33" t="s">
        <v>84</v>
      </c>
      <c r="AF55" s="33" t="s">
        <v>84</v>
      </c>
      <c r="AG55" s="33" t="s">
        <v>84</v>
      </c>
      <c r="AH55" s="33"/>
      <c r="AI55" s="33" t="s">
        <v>84</v>
      </c>
      <c r="AJ55" s="33" t="s">
        <v>84</v>
      </c>
      <c r="AK55" s="33" t="s">
        <v>84</v>
      </c>
      <c r="AL55" s="33"/>
      <c r="AM55" s="33" t="s">
        <v>84</v>
      </c>
      <c r="AN55" s="33" t="s">
        <v>84</v>
      </c>
      <c r="AO55" s="33" t="s">
        <v>84</v>
      </c>
      <c r="AP55" s="33"/>
      <c r="AQ55" s="33" t="s">
        <v>84</v>
      </c>
      <c r="AR55" s="33" t="s">
        <v>84</v>
      </c>
      <c r="AS55" s="33" t="s">
        <v>84</v>
      </c>
      <c r="AT55" s="33"/>
      <c r="AU55" s="33" t="s">
        <v>84</v>
      </c>
      <c r="AV55" s="33" t="s">
        <v>84</v>
      </c>
      <c r="AW55" s="33" t="s">
        <v>84</v>
      </c>
      <c r="AX55" s="33"/>
      <c r="AY55" s="33" t="s">
        <v>84</v>
      </c>
      <c r="AZ55" s="33" t="s">
        <v>84</v>
      </c>
      <c r="BA55" s="33" t="s">
        <v>84</v>
      </c>
      <c r="BB55" s="33"/>
      <c r="BC55" s="33" t="s">
        <v>84</v>
      </c>
      <c r="BD55" s="33" t="s">
        <v>84</v>
      </c>
      <c r="BE55" s="33" t="s">
        <v>84</v>
      </c>
      <c r="BF55" s="33" t="s">
        <v>108</v>
      </c>
      <c r="BG55" s="33" t="s">
        <v>84</v>
      </c>
      <c r="BH55" s="33" t="s">
        <v>84</v>
      </c>
      <c r="BI55" s="33" t="s">
        <v>84</v>
      </c>
      <c r="BJ55" s="33"/>
      <c r="BK55" s="33" t="s">
        <v>84</v>
      </c>
      <c r="BL55" s="33" t="s">
        <v>84</v>
      </c>
      <c r="BM55" s="33" t="s">
        <v>84</v>
      </c>
      <c r="BN55" s="33"/>
      <c r="BO55" s="33" t="s">
        <v>84</v>
      </c>
      <c r="BP55" s="33" t="s">
        <v>84</v>
      </c>
      <c r="BQ55" s="33" t="s">
        <v>84</v>
      </c>
      <c r="BR55" s="33"/>
      <c r="BS55" s="33" t="s">
        <v>84</v>
      </c>
      <c r="BT55" s="33" t="s">
        <v>84</v>
      </c>
      <c r="BU55" s="33" t="s">
        <v>84</v>
      </c>
      <c r="BV55" s="33" t="s">
        <v>124</v>
      </c>
      <c r="BW55" s="33" t="s">
        <v>84</v>
      </c>
      <c r="BX55" s="33" t="s">
        <v>84</v>
      </c>
      <c r="BY55" s="33" t="s">
        <v>84</v>
      </c>
      <c r="BZ55" s="33" t="s">
        <v>84</v>
      </c>
      <c r="CA55" s="33" t="s">
        <v>84</v>
      </c>
      <c r="CB55" s="33" t="s">
        <v>84</v>
      </c>
      <c r="CC55" s="33"/>
      <c r="CD55" s="33" t="s">
        <v>89</v>
      </c>
      <c r="CE55" s="33">
        <v>56</v>
      </c>
      <c r="CF55" s="33">
        <v>1.49</v>
      </c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</row>
    <row r="56" spans="1:100" ht="15.75" customHeight="1">
      <c r="A56" s="33"/>
      <c r="B56" s="33">
        <v>31</v>
      </c>
      <c r="C56" s="33" t="s">
        <v>126</v>
      </c>
      <c r="D56" s="34">
        <v>57.49</v>
      </c>
      <c r="E56" s="34" t="s">
        <v>84</v>
      </c>
      <c r="F56" s="35">
        <v>60</v>
      </c>
      <c r="G56" s="33" t="s">
        <v>84</v>
      </c>
      <c r="H56" s="33" t="s">
        <v>84</v>
      </c>
      <c r="I56" s="33" t="s">
        <v>84</v>
      </c>
      <c r="J56" s="34" t="s">
        <v>84</v>
      </c>
      <c r="K56" s="33" t="s">
        <v>84</v>
      </c>
      <c r="L56" s="33" t="s">
        <v>84</v>
      </c>
      <c r="M56" s="33">
        <v>0.15</v>
      </c>
      <c r="N56" s="33" t="s">
        <v>91</v>
      </c>
      <c r="O56" s="33">
        <v>86.1</v>
      </c>
      <c r="P56" s="33" t="s">
        <v>84</v>
      </c>
      <c r="Q56" s="33">
        <v>62.66</v>
      </c>
      <c r="R56" s="33" t="s">
        <v>84</v>
      </c>
      <c r="S56" s="33" t="s">
        <v>84</v>
      </c>
      <c r="T56" s="33" t="s">
        <v>84</v>
      </c>
      <c r="U56" s="33" t="s">
        <v>84</v>
      </c>
      <c r="V56" s="33" t="s">
        <v>84</v>
      </c>
      <c r="W56" s="33" t="s">
        <v>84</v>
      </c>
      <c r="X56" s="33" t="s">
        <v>84</v>
      </c>
      <c r="Y56" s="33" t="s">
        <v>85</v>
      </c>
      <c r="Z56" s="33" t="s">
        <v>88</v>
      </c>
      <c r="AA56" s="33">
        <v>0</v>
      </c>
      <c r="AB56" s="34">
        <v>35.200000000000003</v>
      </c>
      <c r="AC56" s="34">
        <v>29.3</v>
      </c>
      <c r="AD56" s="33">
        <v>2</v>
      </c>
      <c r="AE56" s="33" t="s">
        <v>84</v>
      </c>
      <c r="AF56" s="33" t="s">
        <v>84</v>
      </c>
      <c r="AG56" s="33" t="s">
        <v>84</v>
      </c>
      <c r="AH56" s="33"/>
      <c r="AI56" s="33" t="s">
        <v>84</v>
      </c>
      <c r="AJ56" s="33" t="s">
        <v>84</v>
      </c>
      <c r="AK56" s="33" t="s">
        <v>84</v>
      </c>
      <c r="AL56" s="33"/>
      <c r="AM56" s="33" t="s">
        <v>84</v>
      </c>
      <c r="AN56" s="33" t="s">
        <v>84</v>
      </c>
      <c r="AO56" s="33" t="s">
        <v>84</v>
      </c>
      <c r="AP56" s="33"/>
      <c r="AQ56" s="33" t="s">
        <v>84</v>
      </c>
      <c r="AR56" s="33" t="s">
        <v>84</v>
      </c>
      <c r="AS56" s="33" t="s">
        <v>84</v>
      </c>
      <c r="AT56" s="33"/>
      <c r="AU56" s="33" t="s">
        <v>84</v>
      </c>
      <c r="AV56" s="33" t="s">
        <v>84</v>
      </c>
      <c r="AW56" s="33" t="s">
        <v>84</v>
      </c>
      <c r="AX56" s="33"/>
      <c r="AY56" s="33" t="s">
        <v>84</v>
      </c>
      <c r="AZ56" s="33" t="s">
        <v>84</v>
      </c>
      <c r="BA56" s="33" t="s">
        <v>84</v>
      </c>
      <c r="BB56" s="33"/>
      <c r="BC56" s="33" t="s">
        <v>84</v>
      </c>
      <c r="BD56" s="33" t="s">
        <v>84</v>
      </c>
      <c r="BE56" s="33" t="s">
        <v>84</v>
      </c>
      <c r="BF56" s="34" t="s">
        <v>108</v>
      </c>
      <c r="BG56" s="33" t="s">
        <v>84</v>
      </c>
      <c r="BH56" s="33" t="s">
        <v>84</v>
      </c>
      <c r="BI56" s="33" t="s">
        <v>84</v>
      </c>
      <c r="BJ56" s="33"/>
      <c r="BK56" s="33" t="s">
        <v>84</v>
      </c>
      <c r="BL56" s="33" t="s">
        <v>84</v>
      </c>
      <c r="BM56" s="33" t="s">
        <v>84</v>
      </c>
      <c r="BN56" s="33"/>
      <c r="BO56" s="33" t="s">
        <v>84</v>
      </c>
      <c r="BP56" s="33" t="s">
        <v>84</v>
      </c>
      <c r="BQ56" s="33" t="s">
        <v>84</v>
      </c>
      <c r="BR56" s="33"/>
      <c r="BS56" s="33" t="s">
        <v>84</v>
      </c>
      <c r="BT56" s="33" t="s">
        <v>84</v>
      </c>
      <c r="BU56" s="33" t="s">
        <v>84</v>
      </c>
      <c r="BV56" s="33" t="s">
        <v>124</v>
      </c>
      <c r="BW56" s="33" t="s">
        <v>84</v>
      </c>
      <c r="BX56" s="33" t="s">
        <v>84</v>
      </c>
      <c r="BY56" s="33" t="s">
        <v>84</v>
      </c>
      <c r="BZ56" s="33" t="s">
        <v>84</v>
      </c>
      <c r="CA56" s="33" t="s">
        <v>84</v>
      </c>
      <c r="CB56" s="33" t="s">
        <v>84</v>
      </c>
      <c r="CC56" s="33"/>
      <c r="CD56" s="38"/>
      <c r="CE56" s="38"/>
      <c r="CF56" s="33">
        <v>1.49</v>
      </c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</row>
    <row r="57" spans="1:100" ht="15.75" customHeight="1">
      <c r="A57" s="33"/>
      <c r="B57" s="33">
        <v>32</v>
      </c>
      <c r="C57" s="33" t="s">
        <v>127</v>
      </c>
      <c r="D57" s="34">
        <v>60</v>
      </c>
      <c r="E57" s="34">
        <v>4</v>
      </c>
      <c r="F57" s="34">
        <v>64</v>
      </c>
      <c r="G57" s="33">
        <v>0.98</v>
      </c>
      <c r="H57" s="33" t="s">
        <v>5</v>
      </c>
      <c r="I57" s="33" t="s">
        <v>84</v>
      </c>
      <c r="J57" s="34" t="s">
        <v>84</v>
      </c>
      <c r="K57" s="33" t="s">
        <v>84</v>
      </c>
      <c r="L57" s="33" t="s">
        <v>84</v>
      </c>
      <c r="M57" s="33" t="s">
        <v>84</v>
      </c>
      <c r="N57" s="33" t="s">
        <v>84</v>
      </c>
      <c r="O57" s="33">
        <v>86.1</v>
      </c>
      <c r="P57" s="33" t="s">
        <v>84</v>
      </c>
      <c r="Q57" s="36">
        <v>62.66</v>
      </c>
      <c r="R57" s="33" t="s">
        <v>84</v>
      </c>
      <c r="S57" s="33" t="s">
        <v>84</v>
      </c>
      <c r="T57" s="33" t="s">
        <v>84</v>
      </c>
      <c r="U57" s="33" t="s">
        <v>84</v>
      </c>
      <c r="V57" s="33">
        <v>0.67</v>
      </c>
      <c r="W57" s="33">
        <f>2+V57*(5-2)</f>
        <v>4.01</v>
      </c>
      <c r="X57" s="34">
        <f>W57+D57</f>
        <v>64.010000000000005</v>
      </c>
      <c r="Y57" s="33" t="s">
        <v>88</v>
      </c>
      <c r="Z57" s="33" t="s">
        <v>88</v>
      </c>
      <c r="AA57" s="33">
        <v>0</v>
      </c>
      <c r="AB57" s="34">
        <v>35.200000000000003</v>
      </c>
      <c r="AC57" s="34">
        <f>AC56+2.51</f>
        <v>31.810000000000002</v>
      </c>
      <c r="AD57" s="33">
        <v>2</v>
      </c>
      <c r="AE57" s="33" t="s">
        <v>84</v>
      </c>
      <c r="AF57" s="33" t="s">
        <v>84</v>
      </c>
      <c r="AG57" s="33" t="s">
        <v>84</v>
      </c>
      <c r="AH57" s="33"/>
      <c r="AI57" s="33" t="s">
        <v>84</v>
      </c>
      <c r="AJ57" s="33" t="s">
        <v>84</v>
      </c>
      <c r="AK57" s="33" t="s">
        <v>84</v>
      </c>
      <c r="AL57" s="33"/>
      <c r="AM57" s="33" t="s">
        <v>84</v>
      </c>
      <c r="AN57" s="33" t="s">
        <v>84</v>
      </c>
      <c r="AO57" s="33" t="s">
        <v>84</v>
      </c>
      <c r="AP57" s="33"/>
      <c r="AQ57" s="33" t="s">
        <v>84</v>
      </c>
      <c r="AR57" s="33" t="s">
        <v>84</v>
      </c>
      <c r="AS57" s="33" t="s">
        <v>84</v>
      </c>
      <c r="AT57" s="33"/>
      <c r="AU57" s="33" t="s">
        <v>84</v>
      </c>
      <c r="AV57" s="33" t="s">
        <v>84</v>
      </c>
      <c r="AW57" s="33" t="s">
        <v>84</v>
      </c>
      <c r="AX57" s="33"/>
      <c r="AY57" s="33" t="s">
        <v>84</v>
      </c>
      <c r="AZ57" s="33" t="s">
        <v>84</v>
      </c>
      <c r="BA57" s="33" t="s">
        <v>84</v>
      </c>
      <c r="BB57" s="33"/>
      <c r="BC57" s="33" t="s">
        <v>84</v>
      </c>
      <c r="BD57" s="33" t="s">
        <v>84</v>
      </c>
      <c r="BE57" s="33" t="s">
        <v>84</v>
      </c>
      <c r="BF57" s="33" t="s">
        <v>108</v>
      </c>
      <c r="BG57" s="33" t="s">
        <v>84</v>
      </c>
      <c r="BH57" s="33" t="s">
        <v>84</v>
      </c>
      <c r="BI57" s="33" t="s">
        <v>84</v>
      </c>
      <c r="BJ57" s="33"/>
      <c r="BK57" s="33" t="s">
        <v>84</v>
      </c>
      <c r="BL57" s="33" t="s">
        <v>84</v>
      </c>
      <c r="BM57" s="33" t="s">
        <v>84</v>
      </c>
      <c r="BN57" s="33"/>
      <c r="BO57" s="33" t="s">
        <v>84</v>
      </c>
      <c r="BP57" s="33" t="s">
        <v>84</v>
      </c>
      <c r="BQ57" s="33" t="s">
        <v>84</v>
      </c>
      <c r="BR57" s="33"/>
      <c r="BS57" s="33" t="s">
        <v>84</v>
      </c>
      <c r="BT57" s="33" t="s">
        <v>84</v>
      </c>
      <c r="BU57" s="33" t="s">
        <v>84</v>
      </c>
      <c r="BV57" s="33" t="s">
        <v>124</v>
      </c>
      <c r="BW57" s="33" t="s">
        <v>84</v>
      </c>
      <c r="BX57" s="33" t="s">
        <v>84</v>
      </c>
      <c r="BY57" s="33" t="s">
        <v>84</v>
      </c>
      <c r="BZ57" s="33" t="s">
        <v>84</v>
      </c>
      <c r="CA57" s="33" t="s">
        <v>84</v>
      </c>
      <c r="CB57" s="33" t="s">
        <v>84</v>
      </c>
      <c r="CC57" s="33"/>
      <c r="CD57" s="33" t="s">
        <v>84</v>
      </c>
      <c r="CE57" s="33" t="s">
        <v>84</v>
      </c>
      <c r="CF57" s="33" t="s">
        <v>84</v>
      </c>
      <c r="CG57" s="33"/>
      <c r="CH57" s="33" t="s">
        <v>89</v>
      </c>
      <c r="CI57" s="33">
        <v>60</v>
      </c>
      <c r="CJ57" s="33">
        <v>4.01</v>
      </c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</row>
    <row r="58" spans="1:100" ht="15.75" customHeight="1">
      <c r="A58" s="33"/>
      <c r="B58" s="33">
        <v>33</v>
      </c>
      <c r="C58" s="33" t="s">
        <v>128</v>
      </c>
      <c r="D58" s="34">
        <v>62.66</v>
      </c>
      <c r="E58" s="34" t="s">
        <v>84</v>
      </c>
      <c r="F58" s="35">
        <v>64</v>
      </c>
      <c r="G58" s="33" t="s">
        <v>84</v>
      </c>
      <c r="H58" s="33" t="s">
        <v>84</v>
      </c>
      <c r="I58" s="33" t="s">
        <v>84</v>
      </c>
      <c r="J58" s="34" t="s">
        <v>84</v>
      </c>
      <c r="K58" s="33" t="s">
        <v>84</v>
      </c>
      <c r="L58" s="33" t="s">
        <v>84</v>
      </c>
      <c r="M58" s="33" t="s">
        <v>84</v>
      </c>
      <c r="N58" s="33" t="s">
        <v>84</v>
      </c>
      <c r="O58" s="33">
        <v>86.1</v>
      </c>
      <c r="P58" s="33" t="s">
        <v>84</v>
      </c>
      <c r="Q58" s="33" t="s">
        <v>84</v>
      </c>
      <c r="R58" s="33" t="s">
        <v>84</v>
      </c>
      <c r="S58" s="33" t="s">
        <v>84</v>
      </c>
      <c r="T58" s="33" t="s">
        <v>84</v>
      </c>
      <c r="U58" s="33" t="s">
        <v>84</v>
      </c>
      <c r="V58" s="33" t="s">
        <v>84</v>
      </c>
      <c r="W58" s="33" t="s">
        <v>84</v>
      </c>
      <c r="X58" s="42">
        <v>64.010000000000005</v>
      </c>
      <c r="Y58" s="33" t="s">
        <v>88</v>
      </c>
      <c r="Z58" s="33" t="s">
        <v>88</v>
      </c>
      <c r="AA58" s="33">
        <v>0</v>
      </c>
      <c r="AB58" s="34">
        <v>35.200000000000003</v>
      </c>
      <c r="AC58" s="34">
        <f t="shared" ref="AC58:AC65" si="9">AC57+(D58-D57)</f>
        <v>34.47</v>
      </c>
      <c r="AD58" s="33">
        <v>1</v>
      </c>
      <c r="AE58" s="33" t="s">
        <v>84</v>
      </c>
      <c r="AF58" s="33" t="s">
        <v>84</v>
      </c>
      <c r="AG58" s="33" t="s">
        <v>84</v>
      </c>
      <c r="AH58" s="33"/>
      <c r="AI58" s="33" t="s">
        <v>84</v>
      </c>
      <c r="AJ58" s="33" t="s">
        <v>84</v>
      </c>
      <c r="AK58" s="33" t="s">
        <v>84</v>
      </c>
      <c r="AL58" s="33"/>
      <c r="AM58" s="33" t="s">
        <v>84</v>
      </c>
      <c r="AN58" s="33" t="s">
        <v>84</v>
      </c>
      <c r="AO58" s="33" t="s">
        <v>84</v>
      </c>
      <c r="AP58" s="33"/>
      <c r="AQ58" s="33" t="s">
        <v>84</v>
      </c>
      <c r="AR58" s="33" t="s">
        <v>84</v>
      </c>
      <c r="AS58" s="33" t="s">
        <v>84</v>
      </c>
      <c r="AT58" s="33"/>
      <c r="AU58" s="33" t="s">
        <v>84</v>
      </c>
      <c r="AV58" s="33" t="s">
        <v>84</v>
      </c>
      <c r="AW58" s="33" t="s">
        <v>84</v>
      </c>
      <c r="AX58" s="33"/>
      <c r="AY58" s="33" t="s">
        <v>84</v>
      </c>
      <c r="AZ58" s="33" t="s">
        <v>84</v>
      </c>
      <c r="BA58" s="33" t="s">
        <v>84</v>
      </c>
      <c r="BB58" s="33"/>
      <c r="BC58" s="33" t="s">
        <v>84</v>
      </c>
      <c r="BD58" s="33" t="s">
        <v>84</v>
      </c>
      <c r="BE58" s="33" t="s">
        <v>84</v>
      </c>
      <c r="BF58" s="33" t="s">
        <v>108</v>
      </c>
      <c r="BG58" s="33" t="s">
        <v>84</v>
      </c>
      <c r="BH58" s="33" t="s">
        <v>84</v>
      </c>
      <c r="BI58" s="33" t="s">
        <v>84</v>
      </c>
      <c r="BJ58" s="33"/>
      <c r="BK58" s="33" t="s">
        <v>84</v>
      </c>
      <c r="BL58" s="33" t="s">
        <v>84</v>
      </c>
      <c r="BM58" s="33" t="s">
        <v>84</v>
      </c>
      <c r="BN58" s="33"/>
      <c r="BO58" s="33" t="s">
        <v>84</v>
      </c>
      <c r="BP58" s="33" t="s">
        <v>84</v>
      </c>
      <c r="BQ58" s="33" t="s">
        <v>84</v>
      </c>
      <c r="BR58" s="33"/>
      <c r="BS58" s="33" t="s">
        <v>84</v>
      </c>
      <c r="BT58" s="33" t="s">
        <v>84</v>
      </c>
      <c r="BU58" s="33" t="s">
        <v>84</v>
      </c>
      <c r="BV58" s="33" t="s">
        <v>124</v>
      </c>
      <c r="BW58" s="33" t="s">
        <v>84</v>
      </c>
      <c r="BX58" s="33" t="s">
        <v>84</v>
      </c>
      <c r="BY58" s="33" t="s">
        <v>84</v>
      </c>
      <c r="BZ58" s="33" t="s">
        <v>84</v>
      </c>
      <c r="CA58" s="33" t="s">
        <v>84</v>
      </c>
      <c r="CB58" s="33" t="s">
        <v>84</v>
      </c>
      <c r="CC58" s="33"/>
      <c r="CD58" s="33" t="s">
        <v>84</v>
      </c>
      <c r="CE58" s="33" t="s">
        <v>84</v>
      </c>
      <c r="CF58" s="33" t="s">
        <v>84</v>
      </c>
      <c r="CG58" s="33"/>
      <c r="CH58" s="33" t="s">
        <v>89</v>
      </c>
      <c r="CI58" s="33">
        <v>60</v>
      </c>
      <c r="CJ58" s="33">
        <v>4.01</v>
      </c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</row>
    <row r="59" spans="1:100" ht="15.75" customHeight="1">
      <c r="A59" s="33"/>
      <c r="B59" s="33">
        <v>34</v>
      </c>
      <c r="C59" s="33" t="s">
        <v>129</v>
      </c>
      <c r="D59" s="34">
        <v>64</v>
      </c>
      <c r="E59" s="34">
        <v>4</v>
      </c>
      <c r="F59" s="34">
        <v>68</v>
      </c>
      <c r="G59" s="33">
        <v>0.65</v>
      </c>
      <c r="H59" s="33" t="s">
        <v>87</v>
      </c>
      <c r="I59" s="33" t="s">
        <v>84</v>
      </c>
      <c r="J59" s="33" t="s">
        <v>84</v>
      </c>
      <c r="K59" s="33" t="s">
        <v>84</v>
      </c>
      <c r="L59" s="33" t="s">
        <v>84</v>
      </c>
      <c r="M59" s="33" t="s">
        <v>84</v>
      </c>
      <c r="N59" s="33" t="s">
        <v>84</v>
      </c>
      <c r="O59" s="33">
        <v>86.1</v>
      </c>
      <c r="P59" s="33" t="s">
        <v>84</v>
      </c>
      <c r="Q59" s="33" t="s">
        <v>84</v>
      </c>
      <c r="R59" s="33">
        <v>0.11</v>
      </c>
      <c r="S59" s="33">
        <f>1.3+R59*(2.3-1.3)</f>
        <v>1.41</v>
      </c>
      <c r="T59" s="34">
        <f>S59+D59</f>
        <v>65.41</v>
      </c>
      <c r="U59" s="33" t="s">
        <v>84</v>
      </c>
      <c r="V59" s="33" t="s">
        <v>84</v>
      </c>
      <c r="W59" s="33" t="s">
        <v>84</v>
      </c>
      <c r="X59" s="36">
        <v>64.010000000000005</v>
      </c>
      <c r="Y59" s="33" t="s">
        <v>88</v>
      </c>
      <c r="Z59" s="33" t="s">
        <v>88</v>
      </c>
      <c r="AA59" s="33">
        <v>1</v>
      </c>
      <c r="AB59" s="34" t="s">
        <v>130</v>
      </c>
      <c r="AC59" s="34">
        <f t="shared" si="9"/>
        <v>35.81</v>
      </c>
      <c r="AD59" s="33">
        <v>1</v>
      </c>
      <c r="AE59" s="33" t="s">
        <v>84</v>
      </c>
      <c r="AF59" s="33" t="s">
        <v>84</v>
      </c>
      <c r="AG59" s="33" t="s">
        <v>84</v>
      </c>
      <c r="AH59" s="33"/>
      <c r="AI59" s="33" t="s">
        <v>84</v>
      </c>
      <c r="AJ59" s="33" t="s">
        <v>84</v>
      </c>
      <c r="AK59" s="33" t="s">
        <v>84</v>
      </c>
      <c r="AL59" s="33"/>
      <c r="AM59" s="33" t="s">
        <v>84</v>
      </c>
      <c r="AN59" s="33" t="s">
        <v>84</v>
      </c>
      <c r="AO59" s="33" t="s">
        <v>84</v>
      </c>
      <c r="AP59" s="33"/>
      <c r="AQ59" s="33" t="s">
        <v>84</v>
      </c>
      <c r="AR59" s="33" t="s">
        <v>84</v>
      </c>
      <c r="AS59" s="33" t="s">
        <v>84</v>
      </c>
      <c r="AT59" s="33"/>
      <c r="AU59" s="33" t="s">
        <v>84</v>
      </c>
      <c r="AV59" s="33" t="s">
        <v>84</v>
      </c>
      <c r="AW59" s="33" t="s">
        <v>84</v>
      </c>
      <c r="AX59" s="33"/>
      <c r="AY59" s="33" t="s">
        <v>84</v>
      </c>
      <c r="AZ59" s="33" t="s">
        <v>84</v>
      </c>
      <c r="BA59" s="33" t="s">
        <v>84</v>
      </c>
      <c r="BB59" s="33"/>
      <c r="BC59" s="33" t="s">
        <v>84</v>
      </c>
      <c r="BD59" s="33" t="s">
        <v>84</v>
      </c>
      <c r="BE59" s="33" t="s">
        <v>84</v>
      </c>
      <c r="BF59" s="35" t="s">
        <v>108</v>
      </c>
      <c r="BG59" s="33" t="s">
        <v>84</v>
      </c>
      <c r="BH59" s="33" t="s">
        <v>84</v>
      </c>
      <c r="BI59" s="33" t="s">
        <v>84</v>
      </c>
      <c r="BJ59" s="33"/>
      <c r="BK59" s="33" t="s">
        <v>84</v>
      </c>
      <c r="BL59" s="33" t="s">
        <v>84</v>
      </c>
      <c r="BM59" s="33" t="s">
        <v>84</v>
      </c>
      <c r="BN59" s="33"/>
      <c r="BO59" s="33" t="s">
        <v>84</v>
      </c>
      <c r="BP59" s="33" t="s">
        <v>84</v>
      </c>
      <c r="BQ59" s="33" t="s">
        <v>84</v>
      </c>
      <c r="BR59" s="33"/>
      <c r="BS59" s="33" t="s">
        <v>84</v>
      </c>
      <c r="BT59" s="33" t="s">
        <v>84</v>
      </c>
      <c r="BU59" s="33" t="s">
        <v>84</v>
      </c>
      <c r="BV59" s="33" t="s">
        <v>124</v>
      </c>
      <c r="BW59" s="33" t="s">
        <v>84</v>
      </c>
      <c r="BX59" s="33" t="s">
        <v>84</v>
      </c>
      <c r="BY59" s="33" t="s">
        <v>84</v>
      </c>
      <c r="BZ59" s="33" t="s">
        <v>84</v>
      </c>
      <c r="CA59" s="33" t="s">
        <v>84</v>
      </c>
      <c r="CB59" s="33" t="s">
        <v>84</v>
      </c>
      <c r="CC59" s="33"/>
      <c r="CD59" s="33" t="s">
        <v>84</v>
      </c>
      <c r="CE59" s="33" t="s">
        <v>84</v>
      </c>
      <c r="CF59" s="33" t="s">
        <v>84</v>
      </c>
      <c r="CG59" s="33"/>
      <c r="CH59" s="33" t="s">
        <v>89</v>
      </c>
      <c r="CI59" s="33">
        <v>60</v>
      </c>
      <c r="CJ59" s="33">
        <v>4.01</v>
      </c>
      <c r="CK59" s="33"/>
      <c r="CL59" s="33" t="s">
        <v>89</v>
      </c>
      <c r="CM59" s="33">
        <v>64</v>
      </c>
      <c r="CN59" s="33">
        <v>1.41</v>
      </c>
      <c r="CO59" s="33"/>
      <c r="CP59" s="33"/>
      <c r="CQ59" s="33"/>
      <c r="CR59" s="33"/>
      <c r="CS59" s="33"/>
      <c r="CT59" s="33"/>
      <c r="CU59" s="33"/>
      <c r="CV59" s="33"/>
    </row>
    <row r="60" spans="1:100" ht="15.75" customHeight="1">
      <c r="A60" s="33"/>
      <c r="B60" s="33">
        <v>35</v>
      </c>
      <c r="C60" s="33" t="s">
        <v>131</v>
      </c>
      <c r="D60" s="34">
        <v>64.010000000000005</v>
      </c>
      <c r="E60" s="34" t="s">
        <v>84</v>
      </c>
      <c r="F60" s="34">
        <v>68</v>
      </c>
      <c r="G60" s="33" t="s">
        <v>84</v>
      </c>
      <c r="H60" s="33" t="s">
        <v>84</v>
      </c>
      <c r="I60" s="33" t="s">
        <v>84</v>
      </c>
      <c r="J60" s="33" t="s">
        <v>84</v>
      </c>
      <c r="K60" s="33" t="s">
        <v>84</v>
      </c>
      <c r="L60" s="33" t="s">
        <v>84</v>
      </c>
      <c r="M60" s="33" t="s">
        <v>84</v>
      </c>
      <c r="N60" s="33" t="s">
        <v>84</v>
      </c>
      <c r="O60" s="33">
        <v>86.1</v>
      </c>
      <c r="P60" s="33" t="s">
        <v>84</v>
      </c>
      <c r="Q60" s="33" t="s">
        <v>84</v>
      </c>
      <c r="R60" s="33" t="s">
        <v>84</v>
      </c>
      <c r="S60" s="33" t="s">
        <v>84</v>
      </c>
      <c r="T60" s="36">
        <v>65.41</v>
      </c>
      <c r="U60" s="33" t="s">
        <v>84</v>
      </c>
      <c r="V60" s="33" t="s">
        <v>84</v>
      </c>
      <c r="W60" s="33" t="s">
        <v>84</v>
      </c>
      <c r="X60" s="33" t="s">
        <v>84</v>
      </c>
      <c r="Y60" s="33" t="s">
        <v>88</v>
      </c>
      <c r="Z60" s="33" t="s">
        <v>88</v>
      </c>
      <c r="AA60" s="33">
        <v>0</v>
      </c>
      <c r="AB60" s="34">
        <v>35.200000000000003</v>
      </c>
      <c r="AC60" s="34">
        <f t="shared" si="9"/>
        <v>35.820000000000007</v>
      </c>
      <c r="AD60" s="33">
        <v>1</v>
      </c>
      <c r="AE60" s="33" t="s">
        <v>84</v>
      </c>
      <c r="AF60" s="33" t="s">
        <v>84</v>
      </c>
      <c r="AG60" s="33" t="s">
        <v>84</v>
      </c>
      <c r="AH60" s="33"/>
      <c r="AI60" s="33" t="s">
        <v>84</v>
      </c>
      <c r="AJ60" s="33" t="s">
        <v>84</v>
      </c>
      <c r="AK60" s="33" t="s">
        <v>84</v>
      </c>
      <c r="AL60" s="33"/>
      <c r="AM60" s="33" t="s">
        <v>84</v>
      </c>
      <c r="AN60" s="33" t="s">
        <v>84</v>
      </c>
      <c r="AO60" s="33" t="s">
        <v>84</v>
      </c>
      <c r="AP60" s="33"/>
      <c r="AQ60" s="33" t="s">
        <v>84</v>
      </c>
      <c r="AR60" s="33" t="s">
        <v>84</v>
      </c>
      <c r="AS60" s="33" t="s">
        <v>84</v>
      </c>
      <c r="AT60" s="33"/>
      <c r="AU60" s="33" t="s">
        <v>84</v>
      </c>
      <c r="AV60" s="33" t="s">
        <v>84</v>
      </c>
      <c r="AW60" s="33" t="s">
        <v>84</v>
      </c>
      <c r="AX60" s="33"/>
      <c r="AY60" s="33" t="s">
        <v>84</v>
      </c>
      <c r="AZ60" s="33" t="s">
        <v>84</v>
      </c>
      <c r="BA60" s="33" t="s">
        <v>84</v>
      </c>
      <c r="BB60" s="33"/>
      <c r="BC60" s="33" t="s">
        <v>84</v>
      </c>
      <c r="BD60" s="33" t="s">
        <v>84</v>
      </c>
      <c r="BE60" s="33" t="s">
        <v>84</v>
      </c>
      <c r="BF60" s="33"/>
      <c r="BG60" s="33" t="s">
        <v>84</v>
      </c>
      <c r="BH60" s="33" t="s">
        <v>84</v>
      </c>
      <c r="BI60" s="33" t="s">
        <v>84</v>
      </c>
      <c r="BJ60" s="33"/>
      <c r="BK60" s="33" t="s">
        <v>84</v>
      </c>
      <c r="BL60" s="33" t="s">
        <v>84</v>
      </c>
      <c r="BM60" s="33" t="s">
        <v>84</v>
      </c>
      <c r="BN60" s="33"/>
      <c r="BO60" s="33" t="s">
        <v>84</v>
      </c>
      <c r="BP60" s="33" t="s">
        <v>84</v>
      </c>
      <c r="BQ60" s="33" t="s">
        <v>84</v>
      </c>
      <c r="BR60" s="33"/>
      <c r="BS60" s="33" t="s">
        <v>84</v>
      </c>
      <c r="BT60" s="33" t="s">
        <v>84</v>
      </c>
      <c r="BU60" s="33" t="s">
        <v>84</v>
      </c>
      <c r="BV60" s="33" t="s">
        <v>124</v>
      </c>
      <c r="BW60" s="33" t="s">
        <v>84</v>
      </c>
      <c r="BX60" s="33" t="s">
        <v>84</v>
      </c>
      <c r="BY60" s="33" t="s">
        <v>84</v>
      </c>
      <c r="BZ60" s="33" t="s">
        <v>84</v>
      </c>
      <c r="CA60" s="33" t="s">
        <v>84</v>
      </c>
      <c r="CB60" s="33" t="s">
        <v>84</v>
      </c>
      <c r="CC60" s="33"/>
      <c r="CD60" s="33" t="s">
        <v>84</v>
      </c>
      <c r="CE60" s="33" t="s">
        <v>84</v>
      </c>
      <c r="CF60" s="33" t="s">
        <v>84</v>
      </c>
      <c r="CG60" s="33"/>
      <c r="CH60" s="38"/>
      <c r="CI60" s="38"/>
      <c r="CJ60" s="33">
        <v>4.01</v>
      </c>
      <c r="CK60" s="33"/>
      <c r="CL60" s="33" t="s">
        <v>89</v>
      </c>
      <c r="CM60" s="33">
        <v>64</v>
      </c>
      <c r="CN60" s="33">
        <v>1.41</v>
      </c>
      <c r="CO60" s="33"/>
      <c r="CP60" s="33"/>
      <c r="CQ60" s="33"/>
      <c r="CR60" s="33"/>
      <c r="CS60" s="33"/>
      <c r="CT60" s="33"/>
      <c r="CU60" s="33"/>
      <c r="CV60" s="33"/>
    </row>
    <row r="61" spans="1:100" ht="15.75" customHeight="1">
      <c r="A61" s="33"/>
      <c r="B61" s="33">
        <v>36</v>
      </c>
      <c r="C61" s="33" t="s">
        <v>132</v>
      </c>
      <c r="D61" s="34">
        <v>65.41</v>
      </c>
      <c r="E61" s="34" t="s">
        <v>84</v>
      </c>
      <c r="F61" s="35">
        <v>68</v>
      </c>
      <c r="G61" s="33" t="s">
        <v>84</v>
      </c>
      <c r="H61" s="33" t="s">
        <v>84</v>
      </c>
      <c r="I61" s="33" t="s">
        <v>84</v>
      </c>
      <c r="J61" s="34" t="s">
        <v>84</v>
      </c>
      <c r="K61" s="33" t="s">
        <v>84</v>
      </c>
      <c r="L61" s="33" t="s">
        <v>84</v>
      </c>
      <c r="M61" s="33" t="s">
        <v>84</v>
      </c>
      <c r="N61" s="33" t="s">
        <v>84</v>
      </c>
      <c r="O61" s="33">
        <v>86.1</v>
      </c>
      <c r="P61" s="33" t="s">
        <v>84</v>
      </c>
      <c r="Q61" s="33" t="s">
        <v>84</v>
      </c>
      <c r="R61" s="33" t="s">
        <v>84</v>
      </c>
      <c r="S61" s="33" t="s">
        <v>84</v>
      </c>
      <c r="T61" s="33" t="s">
        <v>84</v>
      </c>
      <c r="U61" s="33" t="s">
        <v>84</v>
      </c>
      <c r="V61" s="33" t="s">
        <v>84</v>
      </c>
      <c r="W61" s="33" t="s">
        <v>84</v>
      </c>
      <c r="X61" s="33" t="s">
        <v>84</v>
      </c>
      <c r="Y61" s="33" t="s">
        <v>85</v>
      </c>
      <c r="Z61" s="33" t="s">
        <v>88</v>
      </c>
      <c r="AA61" s="33">
        <v>0</v>
      </c>
      <c r="AB61" s="34">
        <v>35.200000000000003</v>
      </c>
      <c r="AC61" s="34">
        <f t="shared" si="9"/>
        <v>37.22</v>
      </c>
      <c r="AD61" s="33">
        <v>1</v>
      </c>
      <c r="AE61" s="33" t="s">
        <v>84</v>
      </c>
      <c r="AF61" s="34" t="s">
        <v>84</v>
      </c>
      <c r="AG61" s="34" t="s">
        <v>84</v>
      </c>
      <c r="AH61" s="34"/>
      <c r="AI61" s="34" t="s">
        <v>84</v>
      </c>
      <c r="AJ61" s="34" t="s">
        <v>84</v>
      </c>
      <c r="AK61" s="34" t="s">
        <v>84</v>
      </c>
      <c r="AL61" s="34"/>
      <c r="AM61" s="34"/>
      <c r="AN61" s="34" t="s">
        <v>84</v>
      </c>
      <c r="AO61" s="34" t="s">
        <v>84</v>
      </c>
      <c r="AP61" s="34"/>
      <c r="AQ61" s="34" t="s">
        <v>84</v>
      </c>
      <c r="AR61" s="34" t="s">
        <v>84</v>
      </c>
      <c r="AS61" s="34" t="s">
        <v>84</v>
      </c>
      <c r="AT61" s="34"/>
      <c r="AU61" s="34" t="s">
        <v>84</v>
      </c>
      <c r="AV61" s="34" t="s">
        <v>84</v>
      </c>
      <c r="AW61" s="33" t="s">
        <v>84</v>
      </c>
      <c r="AX61" s="33"/>
      <c r="AY61" s="33" t="s">
        <v>84</v>
      </c>
      <c r="AZ61" s="33" t="s">
        <v>84</v>
      </c>
      <c r="BA61" s="33" t="s">
        <v>84</v>
      </c>
      <c r="BB61" s="33"/>
      <c r="BC61" s="33" t="s">
        <v>84</v>
      </c>
      <c r="BD61" s="33" t="s">
        <v>84</v>
      </c>
      <c r="BE61" s="33" t="s">
        <v>84</v>
      </c>
      <c r="BF61" s="33"/>
      <c r="BG61" s="33" t="s">
        <v>84</v>
      </c>
      <c r="BH61" s="33" t="s">
        <v>84</v>
      </c>
      <c r="BI61" s="33" t="s">
        <v>84</v>
      </c>
      <c r="BJ61" s="33"/>
      <c r="BK61" s="33" t="s">
        <v>84</v>
      </c>
      <c r="BL61" s="33" t="s">
        <v>84</v>
      </c>
      <c r="BM61" s="33" t="s">
        <v>84</v>
      </c>
      <c r="BN61" s="33"/>
      <c r="BO61" s="33" t="s">
        <v>84</v>
      </c>
      <c r="BP61" s="33" t="s">
        <v>84</v>
      </c>
      <c r="BQ61" s="33" t="s">
        <v>84</v>
      </c>
      <c r="BR61" s="33"/>
      <c r="BS61" s="33" t="s">
        <v>84</v>
      </c>
      <c r="BT61" s="33" t="s">
        <v>84</v>
      </c>
      <c r="BU61" s="33" t="s">
        <v>84</v>
      </c>
      <c r="BV61" s="33" t="s">
        <v>124</v>
      </c>
      <c r="BW61" s="33" t="s">
        <v>84</v>
      </c>
      <c r="BX61" s="33" t="s">
        <v>84</v>
      </c>
      <c r="BY61" s="33" t="s">
        <v>84</v>
      </c>
      <c r="BZ61" s="33" t="s">
        <v>84</v>
      </c>
      <c r="CA61" s="33" t="s">
        <v>84</v>
      </c>
      <c r="CB61" s="33" t="s">
        <v>84</v>
      </c>
      <c r="CC61" s="33"/>
      <c r="CD61" s="33" t="s">
        <v>84</v>
      </c>
      <c r="CE61" s="33" t="s">
        <v>84</v>
      </c>
      <c r="CF61" s="33" t="s">
        <v>84</v>
      </c>
      <c r="CG61" s="33"/>
      <c r="CH61" s="33" t="s">
        <v>84</v>
      </c>
      <c r="CI61" s="33" t="s">
        <v>84</v>
      </c>
      <c r="CJ61" s="33" t="s">
        <v>84</v>
      </c>
      <c r="CK61" s="33"/>
      <c r="CL61" s="38"/>
      <c r="CM61" s="38"/>
      <c r="CN61" s="33">
        <v>1.41</v>
      </c>
      <c r="CO61" s="33"/>
      <c r="CP61" s="33"/>
      <c r="CQ61" s="33"/>
      <c r="CR61" s="33"/>
      <c r="CS61" s="33"/>
      <c r="CT61" s="33"/>
      <c r="CU61" s="33"/>
      <c r="CV61" s="33"/>
    </row>
    <row r="62" spans="1:100" ht="15.75" customHeight="1">
      <c r="A62" s="33"/>
      <c r="B62" s="33">
        <v>37</v>
      </c>
      <c r="C62" s="33" t="s">
        <v>133</v>
      </c>
      <c r="D62" s="34">
        <v>68</v>
      </c>
      <c r="E62" s="34">
        <v>4</v>
      </c>
      <c r="F62" s="34">
        <v>72</v>
      </c>
      <c r="G62" s="33">
        <v>0.12</v>
      </c>
      <c r="H62" s="33" t="s">
        <v>134</v>
      </c>
      <c r="I62" s="33">
        <v>0.42</v>
      </c>
      <c r="J62" s="34">
        <f>-6*LN(1-I62)</f>
        <v>3.2683630526500318</v>
      </c>
      <c r="K62" s="35">
        <f>J62+D62</f>
        <v>71.268363052650031</v>
      </c>
      <c r="L62" s="33" t="s">
        <v>84</v>
      </c>
      <c r="M62" s="33" t="s">
        <v>84</v>
      </c>
      <c r="N62" s="33" t="s">
        <v>84</v>
      </c>
      <c r="O62" s="33">
        <v>86.1</v>
      </c>
      <c r="P62" s="33" t="s">
        <v>84</v>
      </c>
      <c r="Q62" s="33" t="s">
        <v>84</v>
      </c>
      <c r="R62" s="33" t="s">
        <v>84</v>
      </c>
      <c r="S62" s="33" t="s">
        <v>84</v>
      </c>
      <c r="T62" s="33" t="s">
        <v>84</v>
      </c>
      <c r="U62" s="33" t="s">
        <v>84</v>
      </c>
      <c r="V62" s="33" t="s">
        <v>84</v>
      </c>
      <c r="W62" s="33" t="s">
        <v>84</v>
      </c>
      <c r="X62" s="33" t="s">
        <v>84</v>
      </c>
      <c r="Y62" s="33" t="s">
        <v>88</v>
      </c>
      <c r="Z62" s="33" t="s">
        <v>85</v>
      </c>
      <c r="AA62" s="33">
        <v>0</v>
      </c>
      <c r="AB62" s="34">
        <f>AB61+(D62-D61)/2</f>
        <v>36.495000000000005</v>
      </c>
      <c r="AC62" s="34">
        <f t="shared" si="9"/>
        <v>39.81</v>
      </c>
      <c r="AD62" s="33">
        <v>1</v>
      </c>
      <c r="AE62" s="33" t="s">
        <v>84</v>
      </c>
      <c r="AF62" s="34" t="s">
        <v>84</v>
      </c>
      <c r="AG62" s="34" t="s">
        <v>84</v>
      </c>
      <c r="AH62" s="34"/>
      <c r="AI62" s="34" t="s">
        <v>84</v>
      </c>
      <c r="AJ62" s="34" t="s">
        <v>84</v>
      </c>
      <c r="AK62" s="34" t="s">
        <v>84</v>
      </c>
      <c r="AL62" s="34"/>
      <c r="AM62" s="34" t="s">
        <v>84</v>
      </c>
      <c r="AN62" s="34" t="s">
        <v>84</v>
      </c>
      <c r="AO62" s="34" t="s">
        <v>84</v>
      </c>
      <c r="AP62" s="34"/>
      <c r="AQ62" s="34" t="s">
        <v>84</v>
      </c>
      <c r="AR62" s="34"/>
      <c r="AS62" s="34" t="s">
        <v>84</v>
      </c>
      <c r="AT62" s="34"/>
      <c r="AU62" s="34" t="s">
        <v>84</v>
      </c>
      <c r="AV62" s="34" t="s">
        <v>84</v>
      </c>
      <c r="AW62" s="33"/>
      <c r="AX62" s="33"/>
      <c r="AY62" s="33" t="s">
        <v>84</v>
      </c>
      <c r="AZ62" s="33" t="s">
        <v>84</v>
      </c>
      <c r="BA62" s="33" t="s">
        <v>84</v>
      </c>
      <c r="BB62" s="33"/>
      <c r="BC62" s="33" t="s">
        <v>84</v>
      </c>
      <c r="BD62" s="33"/>
      <c r="BE62" s="33" t="s">
        <v>84</v>
      </c>
      <c r="BF62" s="33"/>
      <c r="BG62" s="33" t="s">
        <v>84</v>
      </c>
      <c r="BH62" s="33" t="s">
        <v>84</v>
      </c>
      <c r="BI62" s="33" t="s">
        <v>84</v>
      </c>
      <c r="BJ62" s="33"/>
      <c r="BK62" s="33" t="s">
        <v>84</v>
      </c>
      <c r="BL62" s="33" t="s">
        <v>84</v>
      </c>
      <c r="BM62" s="33" t="s">
        <v>84</v>
      </c>
      <c r="BN62" s="33"/>
      <c r="BO62" s="33"/>
      <c r="BP62" s="33" t="s">
        <v>84</v>
      </c>
      <c r="BQ62" s="33" t="s">
        <v>84</v>
      </c>
      <c r="BR62" s="33"/>
      <c r="BS62" s="33" t="s">
        <v>84</v>
      </c>
      <c r="BT62" s="33" t="s">
        <v>84</v>
      </c>
      <c r="BU62" s="33" t="s">
        <v>84</v>
      </c>
      <c r="BV62" s="33" t="s">
        <v>124</v>
      </c>
      <c r="BW62" s="33" t="s">
        <v>84</v>
      </c>
      <c r="BX62" s="33" t="s">
        <v>84</v>
      </c>
      <c r="BY62" s="33" t="s">
        <v>84</v>
      </c>
      <c r="BZ62" s="33" t="s">
        <v>84</v>
      </c>
      <c r="CA62" s="33" t="s">
        <v>84</v>
      </c>
      <c r="CB62" s="33" t="s">
        <v>84</v>
      </c>
      <c r="CC62" s="33"/>
      <c r="CD62" s="33" t="s">
        <v>84</v>
      </c>
      <c r="CE62" s="33" t="s">
        <v>84</v>
      </c>
      <c r="CF62" s="33" t="s">
        <v>84</v>
      </c>
      <c r="CG62" s="33"/>
      <c r="CH62" s="33" t="s">
        <v>84</v>
      </c>
      <c r="CI62" s="33" t="s">
        <v>84</v>
      </c>
      <c r="CJ62" s="33" t="s">
        <v>84</v>
      </c>
      <c r="CK62" s="33"/>
      <c r="CL62" s="33" t="s">
        <v>84</v>
      </c>
      <c r="CM62" s="33" t="s">
        <v>84</v>
      </c>
      <c r="CN62" s="33" t="s">
        <v>84</v>
      </c>
      <c r="CO62" s="33"/>
      <c r="CP62" s="33" t="s">
        <v>89</v>
      </c>
      <c r="CQ62" s="33">
        <v>68</v>
      </c>
      <c r="CR62" s="33">
        <v>3.27</v>
      </c>
      <c r="CS62" s="33"/>
      <c r="CT62" s="33"/>
      <c r="CU62" s="33"/>
      <c r="CV62" s="33"/>
    </row>
    <row r="63" spans="1:100" ht="15.75" customHeight="1">
      <c r="A63" s="33"/>
      <c r="B63" s="33">
        <v>38</v>
      </c>
      <c r="C63" s="33" t="s">
        <v>135</v>
      </c>
      <c r="D63" s="34">
        <v>71.27</v>
      </c>
      <c r="E63" s="34" t="s">
        <v>84</v>
      </c>
      <c r="F63" s="35">
        <v>72</v>
      </c>
      <c r="G63" s="33" t="s">
        <v>84</v>
      </c>
      <c r="H63" s="33" t="s">
        <v>84</v>
      </c>
      <c r="I63" s="33" t="s">
        <v>84</v>
      </c>
      <c r="J63" s="34" t="s">
        <v>84</v>
      </c>
      <c r="K63" s="33" t="s">
        <v>84</v>
      </c>
      <c r="L63" s="33" t="s">
        <v>84</v>
      </c>
      <c r="M63" s="33">
        <v>0.79</v>
      </c>
      <c r="N63" s="33" t="s">
        <v>136</v>
      </c>
      <c r="O63" s="33">
        <v>86.1</v>
      </c>
      <c r="P63" s="34">
        <f>30+D63</f>
        <v>101.27</v>
      </c>
      <c r="Q63" s="33" t="s">
        <v>84</v>
      </c>
      <c r="R63" s="33" t="s">
        <v>84</v>
      </c>
      <c r="S63" s="33" t="s">
        <v>84</v>
      </c>
      <c r="T63" s="33" t="s">
        <v>84</v>
      </c>
      <c r="U63" s="33" t="s">
        <v>84</v>
      </c>
      <c r="V63" s="33" t="s">
        <v>84</v>
      </c>
      <c r="W63" s="33" t="s">
        <v>84</v>
      </c>
      <c r="X63" s="33" t="s">
        <v>84</v>
      </c>
      <c r="Y63" s="33" t="s">
        <v>85</v>
      </c>
      <c r="Z63" s="33" t="s">
        <v>85</v>
      </c>
      <c r="AA63" s="33">
        <v>0</v>
      </c>
      <c r="AB63" s="34">
        <f>AB62+(D63-D62)</f>
        <v>39.765000000000001</v>
      </c>
      <c r="AC63" s="34">
        <f t="shared" si="9"/>
        <v>43.08</v>
      </c>
      <c r="AD63" s="33">
        <v>2</v>
      </c>
      <c r="AE63" s="33" t="s">
        <v>84</v>
      </c>
      <c r="AF63" s="34" t="s">
        <v>84</v>
      </c>
      <c r="AG63" s="34" t="s">
        <v>84</v>
      </c>
      <c r="AH63" s="34"/>
      <c r="AI63" s="34" t="s">
        <v>84</v>
      </c>
      <c r="AJ63" s="34" t="s">
        <v>84</v>
      </c>
      <c r="AK63" s="34"/>
      <c r="AL63" s="34"/>
      <c r="AM63" s="34" t="s">
        <v>84</v>
      </c>
      <c r="AN63" s="34" t="s">
        <v>84</v>
      </c>
      <c r="AO63" s="34" t="s">
        <v>84</v>
      </c>
      <c r="AP63" s="34"/>
      <c r="AQ63" s="34" t="s">
        <v>84</v>
      </c>
      <c r="AR63" s="34" t="s">
        <v>84</v>
      </c>
      <c r="AS63" s="34" t="s">
        <v>84</v>
      </c>
      <c r="AT63" s="34"/>
      <c r="AU63" s="34"/>
      <c r="AV63" s="34" t="s">
        <v>84</v>
      </c>
      <c r="AW63" s="33" t="s">
        <v>84</v>
      </c>
      <c r="AX63" s="33"/>
      <c r="AY63" s="33" t="s">
        <v>84</v>
      </c>
      <c r="AZ63" s="33" t="s">
        <v>84</v>
      </c>
      <c r="BA63" s="33" t="s">
        <v>84</v>
      </c>
      <c r="BB63" s="33"/>
      <c r="BC63" s="33" t="s">
        <v>84</v>
      </c>
      <c r="BD63" s="33" t="s">
        <v>84</v>
      </c>
      <c r="BE63" s="33" t="s">
        <v>84</v>
      </c>
      <c r="BF63" s="33"/>
      <c r="BG63" s="33"/>
      <c r="BH63" s="33" t="s">
        <v>84</v>
      </c>
      <c r="BI63" s="33" t="s">
        <v>84</v>
      </c>
      <c r="BJ63" s="33"/>
      <c r="BK63" s="33" t="s">
        <v>84</v>
      </c>
      <c r="BL63" s="33" t="s">
        <v>84</v>
      </c>
      <c r="BM63" s="33" t="s">
        <v>84</v>
      </c>
      <c r="BN63" s="33"/>
      <c r="BO63" s="33" t="s">
        <v>84</v>
      </c>
      <c r="BP63" s="33" t="s">
        <v>84</v>
      </c>
      <c r="BQ63" s="33"/>
      <c r="BR63" s="33"/>
      <c r="BS63" s="33" t="s">
        <v>84</v>
      </c>
      <c r="BT63" s="33" t="s">
        <v>84</v>
      </c>
      <c r="BU63" s="33" t="s">
        <v>84</v>
      </c>
      <c r="BV63" s="33" t="s">
        <v>124</v>
      </c>
      <c r="BW63" s="33" t="s">
        <v>84</v>
      </c>
      <c r="BX63" s="33"/>
      <c r="BY63" s="33" t="s">
        <v>84</v>
      </c>
      <c r="BZ63" s="33" t="s">
        <v>84</v>
      </c>
      <c r="CA63" s="33" t="s">
        <v>84</v>
      </c>
      <c r="CB63" s="33" t="s">
        <v>84</v>
      </c>
      <c r="CC63" s="33"/>
      <c r="CD63" s="33" t="s">
        <v>84</v>
      </c>
      <c r="CE63" s="33" t="s">
        <v>84</v>
      </c>
      <c r="CF63" s="33" t="s">
        <v>84</v>
      </c>
      <c r="CG63" s="33"/>
      <c r="CH63" s="33" t="s">
        <v>84</v>
      </c>
      <c r="CI63" s="33" t="s">
        <v>84</v>
      </c>
      <c r="CJ63" s="33" t="s">
        <v>84</v>
      </c>
      <c r="CK63" s="33"/>
      <c r="CL63" s="41" t="s">
        <v>84</v>
      </c>
      <c r="CM63" s="33" t="s">
        <v>84</v>
      </c>
      <c r="CN63" s="33" t="s">
        <v>84</v>
      </c>
      <c r="CO63" s="33"/>
      <c r="CP63" s="38" t="s">
        <v>99</v>
      </c>
      <c r="CQ63" s="38"/>
      <c r="CR63" s="33">
        <v>3.27</v>
      </c>
      <c r="CS63" s="33" t="s">
        <v>137</v>
      </c>
      <c r="CT63" s="33"/>
      <c r="CU63" s="33"/>
      <c r="CV63" s="33"/>
    </row>
    <row r="64" spans="1:100" ht="15.75" customHeight="1">
      <c r="A64" s="33"/>
      <c r="B64" s="33">
        <v>39</v>
      </c>
      <c r="C64" s="33" t="s">
        <v>138</v>
      </c>
      <c r="D64" s="34">
        <v>72</v>
      </c>
      <c r="E64" s="34">
        <v>4</v>
      </c>
      <c r="F64" s="34">
        <v>76</v>
      </c>
      <c r="G64" s="33">
        <v>0.69</v>
      </c>
      <c r="H64" s="33" t="s">
        <v>139</v>
      </c>
      <c r="I64" s="33" t="s">
        <v>84</v>
      </c>
      <c r="J64" s="34" t="s">
        <v>84</v>
      </c>
      <c r="K64" s="33" t="s">
        <v>84</v>
      </c>
      <c r="L64" s="33" t="s">
        <v>84</v>
      </c>
      <c r="M64" s="33" t="s">
        <v>84</v>
      </c>
      <c r="N64" s="33" t="s">
        <v>84</v>
      </c>
      <c r="O64" s="33">
        <v>86.1</v>
      </c>
      <c r="P64" s="33">
        <v>101.27</v>
      </c>
      <c r="Q64" s="33"/>
      <c r="R64" s="33">
        <v>0.23</v>
      </c>
      <c r="S64" s="33">
        <f>1.3+R64*(2.3-1.3)</f>
        <v>1.53</v>
      </c>
      <c r="T64" s="35">
        <f>S64+D64</f>
        <v>73.53</v>
      </c>
      <c r="U64" s="33" t="s">
        <v>84</v>
      </c>
      <c r="V64" s="33" t="s">
        <v>84</v>
      </c>
      <c r="W64" s="33" t="s">
        <v>84</v>
      </c>
      <c r="X64" s="33" t="s">
        <v>84</v>
      </c>
      <c r="Y64" s="33" t="s">
        <v>88</v>
      </c>
      <c r="Z64" s="33" t="s">
        <v>85</v>
      </c>
      <c r="AA64" s="33">
        <v>0</v>
      </c>
      <c r="AB64" s="34">
        <f>AB63+(D64-D63)/2</f>
        <v>40.130000000000003</v>
      </c>
      <c r="AC64" s="34">
        <f t="shared" si="9"/>
        <v>43.81</v>
      </c>
      <c r="AD64" s="33">
        <v>2</v>
      </c>
      <c r="AE64" s="33" t="s">
        <v>84</v>
      </c>
      <c r="AF64" s="34" t="s">
        <v>84</v>
      </c>
      <c r="AG64" s="34" t="s">
        <v>84</v>
      </c>
      <c r="AH64" s="34"/>
      <c r="AI64" s="34" t="s">
        <v>84</v>
      </c>
      <c r="AJ64" s="34" t="s">
        <v>84</v>
      </c>
      <c r="AK64" s="34" t="s">
        <v>84</v>
      </c>
      <c r="AL64" s="34"/>
      <c r="AM64" s="34" t="s">
        <v>84</v>
      </c>
      <c r="AN64" s="34"/>
      <c r="AO64" s="34" t="s">
        <v>84</v>
      </c>
      <c r="AP64" s="34"/>
      <c r="AQ64" s="34" t="s">
        <v>84</v>
      </c>
      <c r="AR64" s="34" t="s">
        <v>84</v>
      </c>
      <c r="AS64" s="34" t="s">
        <v>84</v>
      </c>
      <c r="AT64" s="34"/>
      <c r="AU64" s="34"/>
      <c r="AV64" s="34" t="s">
        <v>84</v>
      </c>
      <c r="AW64" s="33" t="s">
        <v>84</v>
      </c>
      <c r="AX64" s="33"/>
      <c r="AY64" s="33" t="s">
        <v>84</v>
      </c>
      <c r="AZ64" s="33" t="s">
        <v>84</v>
      </c>
      <c r="BA64" s="33" t="s">
        <v>84</v>
      </c>
      <c r="BB64" s="33"/>
      <c r="BC64" s="33"/>
      <c r="BD64" s="33" t="s">
        <v>84</v>
      </c>
      <c r="BE64" s="33" t="s">
        <v>84</v>
      </c>
      <c r="BF64" s="33"/>
      <c r="BG64" s="33" t="s">
        <v>84</v>
      </c>
      <c r="BH64" s="33" t="s">
        <v>84</v>
      </c>
      <c r="BI64" s="33"/>
      <c r="BJ64" s="33"/>
      <c r="BK64" s="33" t="s">
        <v>84</v>
      </c>
      <c r="BL64" s="33" t="s">
        <v>84</v>
      </c>
      <c r="BM64" s="33" t="s">
        <v>84</v>
      </c>
      <c r="BN64" s="33"/>
      <c r="BO64" s="33" t="s">
        <v>84</v>
      </c>
      <c r="BP64" s="33" t="s">
        <v>84</v>
      </c>
      <c r="BQ64" s="33"/>
      <c r="BR64" s="33"/>
      <c r="BS64" s="33" t="s">
        <v>84</v>
      </c>
      <c r="BT64" s="33" t="s">
        <v>84</v>
      </c>
      <c r="BU64" s="33" t="s">
        <v>84</v>
      </c>
      <c r="BV64" s="33" t="s">
        <v>124</v>
      </c>
      <c r="BW64" s="33" t="s">
        <v>84</v>
      </c>
      <c r="BX64" s="33" t="s">
        <v>84</v>
      </c>
      <c r="BY64" s="33"/>
      <c r="BZ64" s="33" t="s">
        <v>84</v>
      </c>
      <c r="CA64" s="33" t="s">
        <v>84</v>
      </c>
      <c r="CB64" s="33" t="s">
        <v>84</v>
      </c>
      <c r="CC64" s="33"/>
      <c r="CD64" s="33" t="s">
        <v>84</v>
      </c>
      <c r="CE64" s="33" t="s">
        <v>84</v>
      </c>
      <c r="CF64" s="33"/>
      <c r="CG64" s="33"/>
      <c r="CH64" s="33" t="s">
        <v>84</v>
      </c>
      <c r="CI64" s="33" t="s">
        <v>84</v>
      </c>
      <c r="CJ64" s="33" t="s">
        <v>84</v>
      </c>
      <c r="CK64" s="33"/>
      <c r="CL64" s="33" t="s">
        <v>84</v>
      </c>
      <c r="CM64" s="33" t="s">
        <v>84</v>
      </c>
      <c r="CN64" s="33" t="s">
        <v>84</v>
      </c>
      <c r="CO64" s="33"/>
      <c r="CP64" s="33" t="s">
        <v>84</v>
      </c>
      <c r="CQ64" s="33" t="s">
        <v>84</v>
      </c>
      <c r="CR64" s="33" t="s">
        <v>84</v>
      </c>
      <c r="CS64" s="33" t="s">
        <v>137</v>
      </c>
      <c r="CT64" s="33" t="s">
        <v>89</v>
      </c>
      <c r="CU64" s="33">
        <v>72</v>
      </c>
      <c r="CV64" s="33">
        <v>1.53</v>
      </c>
    </row>
    <row r="65" spans="1:100" ht="15.75" customHeight="1">
      <c r="A65" s="33"/>
      <c r="B65" s="33">
        <v>40</v>
      </c>
      <c r="C65" s="33" t="s">
        <v>140</v>
      </c>
      <c r="D65" s="34">
        <v>73.53</v>
      </c>
      <c r="E65" s="34" t="s">
        <v>84</v>
      </c>
      <c r="F65" s="34">
        <v>76</v>
      </c>
      <c r="G65" s="33" t="s">
        <v>84</v>
      </c>
      <c r="H65" s="33" t="s">
        <v>84</v>
      </c>
      <c r="I65" s="33" t="s">
        <v>84</v>
      </c>
      <c r="J65" s="34" t="s">
        <v>84</v>
      </c>
      <c r="K65" s="33" t="s">
        <v>84</v>
      </c>
      <c r="L65" s="33" t="s">
        <v>84</v>
      </c>
      <c r="M65" s="33" t="s">
        <v>84</v>
      </c>
      <c r="N65" s="33" t="s">
        <v>84</v>
      </c>
      <c r="O65" s="33">
        <v>86.1</v>
      </c>
      <c r="P65" s="33">
        <v>101.27</v>
      </c>
      <c r="Q65" s="33" t="s">
        <v>84</v>
      </c>
      <c r="R65" s="33" t="s">
        <v>84</v>
      </c>
      <c r="S65" s="33" t="s">
        <v>84</v>
      </c>
      <c r="T65" s="33" t="s">
        <v>84</v>
      </c>
      <c r="U65" s="33" t="s">
        <v>84</v>
      </c>
      <c r="V65" s="33" t="s">
        <v>84</v>
      </c>
      <c r="W65" s="33" t="s">
        <v>84</v>
      </c>
      <c r="X65" s="33" t="s">
        <v>84</v>
      </c>
      <c r="Y65" s="33" t="s">
        <v>85</v>
      </c>
      <c r="Z65" s="33" t="s">
        <v>85</v>
      </c>
      <c r="AA65" s="33">
        <v>0</v>
      </c>
      <c r="AB65" s="34">
        <f>AB64+(D65-D64)</f>
        <v>41.660000000000004</v>
      </c>
      <c r="AC65" s="34">
        <f t="shared" si="9"/>
        <v>45.34</v>
      </c>
      <c r="AD65" s="33">
        <v>2</v>
      </c>
      <c r="AE65" s="34" t="s">
        <v>84</v>
      </c>
      <c r="AF65" s="34" t="s">
        <v>84</v>
      </c>
      <c r="AG65" s="34" t="s">
        <v>84</v>
      </c>
      <c r="AH65" s="34"/>
      <c r="AI65" s="34" t="s">
        <v>84</v>
      </c>
      <c r="AJ65" s="34" t="s">
        <v>84</v>
      </c>
      <c r="AK65" s="34" t="s">
        <v>84</v>
      </c>
      <c r="AL65" s="34"/>
      <c r="AM65" s="34" t="s">
        <v>84</v>
      </c>
      <c r="AN65" s="34" t="s">
        <v>84</v>
      </c>
      <c r="AO65" s="34" t="s">
        <v>84</v>
      </c>
      <c r="AP65" s="34"/>
      <c r="AQ65" s="34" t="s">
        <v>84</v>
      </c>
      <c r="AR65" s="34" t="s">
        <v>84</v>
      </c>
      <c r="AS65" s="34" t="s">
        <v>84</v>
      </c>
      <c r="AT65" s="34"/>
      <c r="AU65" s="34" t="s">
        <v>84</v>
      </c>
      <c r="AV65" s="34" t="s">
        <v>84</v>
      </c>
      <c r="AW65" s="34" t="s">
        <v>84</v>
      </c>
      <c r="AX65" s="34"/>
      <c r="AY65" s="34" t="s">
        <v>84</v>
      </c>
      <c r="AZ65" s="34" t="s">
        <v>84</v>
      </c>
      <c r="BA65" s="34" t="s">
        <v>84</v>
      </c>
      <c r="BB65" s="34"/>
      <c r="BC65" s="34" t="s">
        <v>84</v>
      </c>
      <c r="BD65" s="34" t="s">
        <v>84</v>
      </c>
      <c r="BE65" s="34" t="s">
        <v>84</v>
      </c>
      <c r="BF65" s="34"/>
      <c r="BG65" s="34" t="s">
        <v>84</v>
      </c>
      <c r="BH65" s="34" t="s">
        <v>84</v>
      </c>
      <c r="BI65" s="34" t="s">
        <v>84</v>
      </c>
      <c r="BJ65" s="34"/>
      <c r="BK65" s="34" t="s">
        <v>84</v>
      </c>
      <c r="BL65" s="34" t="s">
        <v>84</v>
      </c>
      <c r="BM65" s="34" t="s">
        <v>84</v>
      </c>
      <c r="BN65" s="34"/>
      <c r="BO65" s="34" t="s">
        <v>84</v>
      </c>
      <c r="BP65" s="34" t="s">
        <v>84</v>
      </c>
      <c r="BQ65" s="34" t="s">
        <v>84</v>
      </c>
      <c r="BR65" s="34"/>
      <c r="BS65" s="34" t="s">
        <v>84</v>
      </c>
      <c r="BT65" s="34" t="s">
        <v>84</v>
      </c>
      <c r="BU65" s="34" t="s">
        <v>84</v>
      </c>
      <c r="BV65" s="33" t="s">
        <v>124</v>
      </c>
      <c r="BW65" s="34" t="s">
        <v>84</v>
      </c>
      <c r="BX65" s="34" t="s">
        <v>84</v>
      </c>
      <c r="BY65" s="34" t="s">
        <v>84</v>
      </c>
      <c r="BZ65" s="34" t="s">
        <v>84</v>
      </c>
      <c r="CA65" s="34" t="s">
        <v>84</v>
      </c>
      <c r="CB65" s="34" t="s">
        <v>84</v>
      </c>
      <c r="CC65" s="34"/>
      <c r="CD65" s="34" t="s">
        <v>84</v>
      </c>
      <c r="CE65" s="34" t="s">
        <v>84</v>
      </c>
      <c r="CF65" s="34" t="s">
        <v>84</v>
      </c>
      <c r="CG65" s="34"/>
      <c r="CH65" s="34" t="s">
        <v>84</v>
      </c>
      <c r="CI65" s="34" t="s">
        <v>84</v>
      </c>
      <c r="CJ65" s="34" t="s">
        <v>84</v>
      </c>
      <c r="CK65" s="34"/>
      <c r="CL65" s="34" t="s">
        <v>84</v>
      </c>
      <c r="CM65" s="34" t="s">
        <v>84</v>
      </c>
      <c r="CN65" s="34" t="s">
        <v>84</v>
      </c>
      <c r="CO65" s="34"/>
      <c r="CP65" s="34" t="s">
        <v>84</v>
      </c>
      <c r="CQ65" s="34" t="s">
        <v>84</v>
      </c>
      <c r="CR65" s="34" t="s">
        <v>84</v>
      </c>
      <c r="CS65" s="33" t="s">
        <v>137</v>
      </c>
      <c r="CT65" s="38"/>
      <c r="CU65" s="38"/>
      <c r="CV65" s="33">
        <v>1.53</v>
      </c>
    </row>
    <row r="66" spans="1:100" ht="15.75" customHeight="1">
      <c r="A66" s="5"/>
      <c r="B66" s="5"/>
      <c r="C66" s="5"/>
      <c r="D66" s="11"/>
      <c r="E66" s="11"/>
      <c r="F66" s="11"/>
      <c r="G66" s="5"/>
      <c r="H66" s="5"/>
      <c r="I66" s="5"/>
      <c r="J66" s="1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11"/>
      <c r="AC66" s="11"/>
      <c r="AD66" s="5"/>
      <c r="AE66" s="5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</row>
    <row r="67" spans="1:100" ht="15.75" customHeight="1">
      <c r="A67" s="5"/>
      <c r="B67" s="5"/>
      <c r="C67" s="5"/>
      <c r="D67" s="11"/>
      <c r="E67" s="11"/>
      <c r="F67" s="11"/>
      <c r="G67" s="5"/>
      <c r="H67" s="5"/>
      <c r="I67" s="5"/>
      <c r="J67" s="1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11"/>
      <c r="AC67" s="11"/>
      <c r="AD67" s="5"/>
      <c r="AE67" s="5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</row>
    <row r="68" spans="1:100" ht="15.75" customHeight="1">
      <c r="A68" s="5"/>
      <c r="B68" s="5"/>
      <c r="C68" s="5"/>
      <c r="D68" s="11"/>
      <c r="E68" s="11"/>
      <c r="F68" s="11"/>
      <c r="G68" s="5"/>
      <c r="H68" s="5"/>
      <c r="I68" s="5"/>
      <c r="J68" s="1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11"/>
      <c r="AC68" s="11"/>
      <c r="AD68" s="5"/>
      <c r="AE68" s="5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</row>
    <row r="69" spans="1:100" ht="15.75" customHeight="1">
      <c r="A69" s="5"/>
      <c r="B69" s="5"/>
      <c r="C69" s="5"/>
      <c r="D69" s="11"/>
      <c r="E69" s="11"/>
      <c r="F69" s="11"/>
      <c r="G69" s="5"/>
      <c r="H69" s="5"/>
      <c r="I69" s="5"/>
      <c r="J69" s="1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11"/>
      <c r="AC69" s="11"/>
      <c r="AD69" s="5"/>
      <c r="AE69" s="5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</row>
    <row r="70" spans="1:100" ht="15.75" customHeight="1">
      <c r="A70" s="5"/>
      <c r="B70" s="5"/>
      <c r="C70" s="5"/>
      <c r="D70" s="11"/>
      <c r="E70" s="11"/>
      <c r="F70" s="11"/>
      <c r="G70" s="5"/>
      <c r="H70" s="5"/>
      <c r="I70" s="5"/>
      <c r="J70" s="1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11"/>
      <c r="AC70" s="11"/>
      <c r="AD70" s="5"/>
      <c r="AE70" s="5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</row>
    <row r="71" spans="1:100" ht="15.75" customHeight="1">
      <c r="A71" s="5"/>
      <c r="B71" s="5"/>
      <c r="C71" s="5"/>
      <c r="D71" s="11"/>
      <c r="E71" s="11"/>
      <c r="F71" s="11"/>
      <c r="G71" s="5"/>
      <c r="H71" s="5"/>
      <c r="I71" s="5"/>
      <c r="J71" s="1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11"/>
      <c r="AC71" s="11"/>
      <c r="AD71" s="5"/>
      <c r="AE71" s="5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</row>
    <row r="72" spans="1:100" ht="15.75" customHeight="1">
      <c r="A72" s="5"/>
      <c r="B72" s="5"/>
      <c r="C72" s="5"/>
      <c r="D72" s="11"/>
      <c r="E72" s="11"/>
      <c r="F72" s="11"/>
      <c r="G72" s="5"/>
      <c r="H72" s="5"/>
      <c r="I72" s="5"/>
      <c r="J72" s="1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11"/>
      <c r="AC72" s="11"/>
      <c r="AD72" s="5"/>
      <c r="AE72" s="5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</row>
    <row r="73" spans="1:100" ht="15.75" customHeight="1">
      <c r="A73" s="5"/>
      <c r="B73" s="5"/>
      <c r="C73" s="5"/>
      <c r="D73" s="11"/>
      <c r="E73" s="11"/>
      <c r="F73" s="11"/>
      <c r="G73" s="5"/>
      <c r="H73" s="5"/>
      <c r="I73" s="5"/>
      <c r="J73" s="1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11"/>
      <c r="AC73" s="11"/>
      <c r="AD73" s="5"/>
      <c r="AE73" s="5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</row>
    <row r="74" spans="1:100" ht="15.75" customHeight="1">
      <c r="A74" s="5"/>
      <c r="B74" s="5"/>
      <c r="C74" s="5"/>
      <c r="D74" s="11"/>
      <c r="E74" s="11"/>
      <c r="F74" s="11"/>
      <c r="G74" s="5"/>
      <c r="H74" s="5"/>
      <c r="I74" s="5"/>
      <c r="J74" s="1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11"/>
      <c r="AC74" s="11"/>
      <c r="AD74" s="5"/>
      <c r="AE74" s="5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</row>
    <row r="75" spans="1:100" ht="15.75" customHeight="1">
      <c r="A75" s="5"/>
      <c r="B75" s="5"/>
      <c r="C75" s="5"/>
      <c r="D75" s="11"/>
      <c r="E75" s="11"/>
      <c r="F75" s="11"/>
      <c r="G75" s="5"/>
      <c r="H75" s="5"/>
      <c r="I75" s="5"/>
      <c r="J75" s="1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11"/>
      <c r="AC75" s="11"/>
      <c r="AD75" s="5"/>
      <c r="AE75" s="5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</row>
    <row r="76" spans="1:100" ht="15.75" customHeight="1">
      <c r="A76" s="5"/>
      <c r="B76" s="5"/>
      <c r="C76" s="5"/>
      <c r="D76" s="11"/>
      <c r="E76" s="11"/>
      <c r="F76" s="11"/>
      <c r="G76" s="5"/>
      <c r="H76" s="5"/>
      <c r="I76" s="5"/>
      <c r="J76" s="1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11"/>
      <c r="AC76" s="11"/>
      <c r="AD76" s="5"/>
      <c r="AE76" s="5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</row>
    <row r="77" spans="1:100" ht="15.75" customHeight="1">
      <c r="A77" s="5"/>
      <c r="B77" s="5"/>
      <c r="C77" s="5"/>
      <c r="D77" s="11"/>
      <c r="E77" s="11"/>
      <c r="F77" s="11"/>
      <c r="G77" s="5"/>
      <c r="H77" s="5"/>
      <c r="I77" s="5"/>
      <c r="J77" s="1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11"/>
      <c r="AC77" s="11"/>
      <c r="AD77" s="5"/>
      <c r="AE77" s="5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</row>
    <row r="78" spans="1:100" ht="15.75" customHeight="1">
      <c r="A78" s="5"/>
      <c r="B78" s="5"/>
      <c r="C78" s="5"/>
      <c r="D78" s="11"/>
      <c r="E78" s="11"/>
      <c r="F78" s="11"/>
      <c r="G78" s="5"/>
      <c r="H78" s="5"/>
      <c r="I78" s="5"/>
      <c r="J78" s="1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11"/>
      <c r="AC78" s="11"/>
      <c r="AD78" s="5"/>
      <c r="AE78" s="5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</row>
    <row r="79" spans="1:100" ht="15.75" customHeight="1">
      <c r="A79" s="5"/>
      <c r="B79" s="5"/>
      <c r="C79" s="5"/>
      <c r="D79" s="11"/>
      <c r="E79" s="11"/>
      <c r="F79" s="11"/>
      <c r="G79" s="5"/>
      <c r="H79" s="5"/>
      <c r="I79" s="5"/>
      <c r="J79" s="1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11"/>
      <c r="AC79" s="11"/>
      <c r="AD79" s="5"/>
      <c r="AE79" s="5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</row>
    <row r="80" spans="1:100" ht="15.75" customHeight="1">
      <c r="A80" s="5"/>
      <c r="B80" s="5"/>
      <c r="C80" s="5"/>
      <c r="D80" s="11"/>
      <c r="E80" s="11"/>
      <c r="F80" s="11"/>
      <c r="G80" s="5"/>
      <c r="H80" s="5"/>
      <c r="I80" s="5"/>
      <c r="J80" s="1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11"/>
      <c r="AC80" s="11"/>
      <c r="AD80" s="5"/>
      <c r="AE80" s="5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 spans="1:100" ht="15.75" customHeight="1">
      <c r="A81" s="5"/>
      <c r="B81" s="5"/>
      <c r="C81" s="5"/>
      <c r="D81" s="11"/>
      <c r="E81" s="11"/>
      <c r="F81" s="11"/>
      <c r="G81" s="5"/>
      <c r="H81" s="5"/>
      <c r="I81" s="5"/>
      <c r="J81" s="1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11"/>
      <c r="AC81" s="11"/>
      <c r="AD81" s="5"/>
      <c r="AE81" s="5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 spans="1:100" ht="15.75" customHeight="1">
      <c r="A82" s="5"/>
      <c r="B82" s="5"/>
      <c r="C82" s="5"/>
      <c r="D82" s="11"/>
      <c r="E82" s="11"/>
      <c r="F82" s="11"/>
      <c r="G82" s="5"/>
      <c r="H82" s="5"/>
      <c r="I82" s="5"/>
      <c r="J82" s="1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11"/>
      <c r="AC82" s="11"/>
      <c r="AD82" s="5"/>
      <c r="AE82" s="5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 spans="1:100" ht="15.75" customHeight="1">
      <c r="A83" s="5"/>
      <c r="B83" s="5"/>
      <c r="C83" s="5"/>
      <c r="D83" s="11"/>
      <c r="E83" s="11"/>
      <c r="F83" s="11"/>
      <c r="G83" s="5"/>
      <c r="H83" s="5"/>
      <c r="I83" s="5"/>
      <c r="J83" s="1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11"/>
      <c r="AC83" s="11"/>
      <c r="AD83" s="5"/>
      <c r="AE83" s="5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 spans="1:100" ht="15.75" customHeight="1">
      <c r="A84" s="5"/>
      <c r="B84" s="5"/>
      <c r="C84" s="5"/>
      <c r="D84" s="11"/>
      <c r="E84" s="11"/>
      <c r="F84" s="11"/>
      <c r="G84" s="5"/>
      <c r="H84" s="5"/>
      <c r="I84" s="5"/>
      <c r="J84" s="1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11"/>
      <c r="AC84" s="11"/>
      <c r="AD84" s="5"/>
      <c r="AE84" s="5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 spans="1:100" ht="15.75" customHeight="1">
      <c r="A85" s="5"/>
      <c r="B85" s="5"/>
      <c r="C85" s="5"/>
      <c r="D85" s="11"/>
      <c r="E85" s="11"/>
      <c r="F85" s="11"/>
      <c r="G85" s="5"/>
      <c r="H85" s="5"/>
      <c r="I85" s="5"/>
      <c r="J85" s="1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11"/>
      <c r="AC85" s="11"/>
      <c r="AD85" s="5"/>
      <c r="AE85" s="5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15.75" customHeight="1">
      <c r="A86" s="5"/>
      <c r="B86" s="5"/>
      <c r="C86" s="5"/>
      <c r="D86" s="11"/>
      <c r="E86" s="11"/>
      <c r="F86" s="11"/>
      <c r="G86" s="5"/>
      <c r="H86" s="5"/>
      <c r="I86" s="5"/>
      <c r="J86" s="1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11"/>
      <c r="AC86" s="11"/>
      <c r="AD86" s="5"/>
      <c r="AE86" s="5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15.75" customHeight="1">
      <c r="A87" s="5"/>
      <c r="B87" s="5"/>
      <c r="C87" s="5"/>
      <c r="D87" s="11"/>
      <c r="E87" s="11"/>
      <c r="F87" s="11"/>
      <c r="G87" s="5"/>
      <c r="H87" s="5"/>
      <c r="I87" s="5"/>
      <c r="J87" s="1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11"/>
      <c r="AC87" s="11"/>
      <c r="AD87" s="5"/>
      <c r="AE87" s="5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15.75" customHeight="1">
      <c r="A88" s="5"/>
      <c r="B88" s="5"/>
      <c r="C88" s="5"/>
      <c r="D88" s="11"/>
      <c r="E88" s="11"/>
      <c r="F88" s="11"/>
      <c r="G88" s="5"/>
      <c r="H88" s="5"/>
      <c r="I88" s="5"/>
      <c r="J88" s="1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11"/>
      <c r="AC88" s="11"/>
      <c r="AD88" s="5"/>
      <c r="AE88" s="5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15.75" customHeight="1">
      <c r="A89" s="5"/>
      <c r="B89" s="5"/>
      <c r="C89" s="5"/>
      <c r="D89" s="11"/>
      <c r="E89" s="11"/>
      <c r="F89" s="11"/>
      <c r="G89" s="5"/>
      <c r="H89" s="5"/>
      <c r="I89" s="5"/>
      <c r="J89" s="1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11"/>
      <c r="AC89" s="11"/>
      <c r="AD89" s="5"/>
      <c r="AE89" s="5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15.75" customHeight="1">
      <c r="A90" s="5"/>
      <c r="B90" s="5"/>
      <c r="C90" s="5"/>
      <c r="D90" s="11"/>
      <c r="E90" s="11"/>
      <c r="F90" s="11"/>
      <c r="G90" s="5"/>
      <c r="H90" s="5"/>
      <c r="I90" s="5"/>
      <c r="J90" s="1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11"/>
      <c r="AC90" s="11"/>
      <c r="AD90" s="5"/>
      <c r="AE90" s="5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15.75" customHeight="1">
      <c r="A91" s="5"/>
      <c r="B91" s="5"/>
      <c r="C91" s="5"/>
      <c r="D91" s="11"/>
      <c r="E91" s="11"/>
      <c r="F91" s="11"/>
      <c r="G91" s="5"/>
      <c r="H91" s="5"/>
      <c r="I91" s="5"/>
      <c r="J91" s="1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11"/>
      <c r="AC91" s="11"/>
      <c r="AD91" s="5"/>
      <c r="AE91" s="5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15.75" customHeight="1">
      <c r="A92" s="5"/>
      <c r="B92" s="5"/>
      <c r="C92" s="5"/>
      <c r="D92" s="11"/>
      <c r="E92" s="11"/>
      <c r="F92" s="11"/>
      <c r="G92" s="5"/>
      <c r="H92" s="5"/>
      <c r="I92" s="5"/>
      <c r="J92" s="1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11"/>
      <c r="AC92" s="11"/>
      <c r="AD92" s="5"/>
      <c r="AE92" s="5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15.75" customHeight="1">
      <c r="A93" s="5"/>
      <c r="B93" s="5"/>
      <c r="C93" s="5"/>
      <c r="D93" s="11"/>
      <c r="E93" s="11"/>
      <c r="F93" s="11"/>
      <c r="G93" s="5"/>
      <c r="H93" s="5"/>
      <c r="I93" s="5"/>
      <c r="J93" s="1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11"/>
      <c r="AC93" s="11"/>
      <c r="AD93" s="5"/>
      <c r="AE93" s="5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15.75" customHeight="1">
      <c r="A94" s="5"/>
      <c r="B94" s="5"/>
      <c r="C94" s="5"/>
      <c r="D94" s="11"/>
      <c r="E94" s="11"/>
      <c r="F94" s="11"/>
      <c r="G94" s="5"/>
      <c r="H94" s="5"/>
      <c r="I94" s="5"/>
      <c r="J94" s="1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11"/>
      <c r="AC94" s="11"/>
      <c r="AD94" s="5"/>
      <c r="AE94" s="5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15.75" customHeight="1">
      <c r="A95" s="5"/>
      <c r="B95" s="5"/>
      <c r="C95" s="5"/>
      <c r="D95" s="11"/>
      <c r="E95" s="11"/>
      <c r="F95" s="11"/>
      <c r="G95" s="5"/>
      <c r="H95" s="5"/>
      <c r="I95" s="5"/>
      <c r="J95" s="1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11"/>
      <c r="AC95" s="11"/>
      <c r="AD95" s="5"/>
      <c r="AE95" s="5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15.75" customHeight="1">
      <c r="A96" s="5"/>
      <c r="B96" s="5"/>
      <c r="C96" s="5"/>
      <c r="D96" s="11"/>
      <c r="E96" s="11"/>
      <c r="F96" s="11"/>
      <c r="G96" s="5"/>
      <c r="H96" s="5"/>
      <c r="I96" s="5"/>
      <c r="J96" s="1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11"/>
      <c r="AC96" s="11"/>
      <c r="AD96" s="5"/>
      <c r="AE96" s="5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15.75" customHeight="1">
      <c r="A97" s="5"/>
      <c r="B97" s="5"/>
      <c r="C97" s="5"/>
      <c r="D97" s="11"/>
      <c r="E97" s="11"/>
      <c r="F97" s="11"/>
      <c r="G97" s="5"/>
      <c r="H97" s="5"/>
      <c r="I97" s="5"/>
      <c r="J97" s="1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11"/>
      <c r="AC97" s="11"/>
      <c r="AD97" s="5"/>
      <c r="AE97" s="5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 spans="1:100" ht="15.75" customHeight="1">
      <c r="A98" s="5"/>
      <c r="B98" s="5"/>
      <c r="C98" s="5"/>
      <c r="D98" s="11"/>
      <c r="E98" s="11"/>
      <c r="F98" s="11"/>
      <c r="G98" s="5"/>
      <c r="H98" s="5"/>
      <c r="I98" s="5"/>
      <c r="J98" s="1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11"/>
      <c r="AC98" s="11"/>
      <c r="AD98" s="5"/>
      <c r="AE98" s="5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 spans="1:100" ht="15.75" customHeight="1">
      <c r="A99" s="5"/>
      <c r="B99" s="5"/>
      <c r="C99" s="5"/>
      <c r="D99" s="11"/>
      <c r="E99" s="11"/>
      <c r="F99" s="11"/>
      <c r="G99" s="5"/>
      <c r="H99" s="5"/>
      <c r="I99" s="5"/>
      <c r="J99" s="1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11"/>
      <c r="AC99" s="11"/>
      <c r="AD99" s="5"/>
      <c r="AE99" s="5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 spans="1:100" ht="15.75" customHeight="1">
      <c r="A100" s="5"/>
      <c r="B100" s="5"/>
      <c r="C100" s="5"/>
      <c r="D100" s="11"/>
      <c r="E100" s="11"/>
      <c r="F100" s="11"/>
      <c r="G100" s="5"/>
      <c r="H100" s="5"/>
      <c r="I100" s="5"/>
      <c r="J100" s="1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11"/>
      <c r="AC100" s="11"/>
      <c r="AD100" s="5"/>
      <c r="AE100" s="5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  <row r="101" spans="1:100" ht="15.75" customHeight="1">
      <c r="A101" s="5"/>
      <c r="B101" s="5"/>
      <c r="C101" s="5"/>
      <c r="D101" s="11"/>
      <c r="E101" s="11"/>
      <c r="F101" s="11"/>
      <c r="G101" s="5"/>
      <c r="H101" s="5"/>
      <c r="I101" s="5"/>
      <c r="J101" s="1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11"/>
      <c r="AC101" s="11"/>
      <c r="AD101" s="5"/>
      <c r="AE101" s="5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</row>
    <row r="102" spans="1:100" ht="15.75" customHeight="1">
      <c r="A102" s="5"/>
      <c r="B102" s="5"/>
      <c r="C102" s="5"/>
      <c r="D102" s="11"/>
      <c r="E102" s="11"/>
      <c r="F102" s="11"/>
      <c r="G102" s="5"/>
      <c r="H102" s="5"/>
      <c r="I102" s="5"/>
      <c r="J102" s="1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11"/>
      <c r="AC102" s="11"/>
      <c r="AD102" s="5"/>
      <c r="AE102" s="5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</row>
    <row r="103" spans="1:100" ht="15.75" customHeight="1">
      <c r="A103" s="5"/>
      <c r="B103" s="5"/>
      <c r="C103" s="5"/>
      <c r="D103" s="11"/>
      <c r="E103" s="11"/>
      <c r="F103" s="11"/>
      <c r="G103" s="5"/>
      <c r="H103" s="5"/>
      <c r="I103" s="5"/>
      <c r="J103" s="1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11"/>
      <c r="AC103" s="11"/>
      <c r="AD103" s="5"/>
      <c r="AE103" s="5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</row>
    <row r="104" spans="1:100" ht="15.75" customHeight="1">
      <c r="A104" s="5"/>
      <c r="B104" s="5"/>
      <c r="C104" s="5"/>
      <c r="D104" s="11"/>
      <c r="E104" s="11"/>
      <c r="F104" s="11"/>
      <c r="G104" s="5"/>
      <c r="H104" s="5"/>
      <c r="I104" s="5"/>
      <c r="J104" s="1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11"/>
      <c r="AC104" s="11"/>
      <c r="AD104" s="5"/>
      <c r="AE104" s="5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</row>
    <row r="105" spans="1:100" ht="15.75" customHeight="1">
      <c r="A105" s="5"/>
      <c r="B105" s="5"/>
      <c r="C105" s="5"/>
      <c r="D105" s="11"/>
      <c r="E105" s="11"/>
      <c r="F105" s="11"/>
      <c r="G105" s="5"/>
      <c r="H105" s="5"/>
      <c r="I105" s="5"/>
      <c r="J105" s="1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11"/>
      <c r="AC105" s="11"/>
      <c r="AD105" s="5"/>
      <c r="AE105" s="5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</row>
    <row r="106" spans="1:100" ht="15.75" customHeight="1">
      <c r="A106" s="5"/>
      <c r="B106" s="5"/>
      <c r="C106" s="5"/>
      <c r="D106" s="11"/>
      <c r="E106" s="11"/>
      <c r="F106" s="11"/>
      <c r="G106" s="5"/>
      <c r="H106" s="5"/>
      <c r="I106" s="5"/>
      <c r="J106" s="1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11"/>
      <c r="AC106" s="11"/>
      <c r="AD106" s="5"/>
      <c r="AE106" s="5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</row>
    <row r="107" spans="1:100" ht="15.75" customHeight="1">
      <c r="A107" s="5"/>
      <c r="B107" s="5"/>
      <c r="C107" s="5"/>
      <c r="D107" s="11"/>
      <c r="E107" s="11"/>
      <c r="F107" s="11"/>
      <c r="G107" s="5"/>
      <c r="H107" s="5"/>
      <c r="I107" s="5"/>
      <c r="J107" s="1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11"/>
      <c r="AC107" s="11"/>
      <c r="AD107" s="5"/>
      <c r="AE107" s="5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</row>
    <row r="108" spans="1:100" ht="15.75" customHeight="1">
      <c r="A108" s="5"/>
      <c r="B108" s="5"/>
      <c r="C108" s="5"/>
      <c r="D108" s="11"/>
      <c r="E108" s="11"/>
      <c r="F108" s="11"/>
      <c r="G108" s="5"/>
      <c r="H108" s="5"/>
      <c r="I108" s="5"/>
      <c r="J108" s="1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11"/>
      <c r="AC108" s="11"/>
      <c r="AD108" s="5"/>
      <c r="AE108" s="5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</row>
    <row r="109" spans="1:100" ht="15.75" customHeight="1">
      <c r="A109" s="5"/>
      <c r="B109" s="5"/>
      <c r="C109" s="5"/>
      <c r="D109" s="11"/>
      <c r="E109" s="11"/>
      <c r="F109" s="11"/>
      <c r="G109" s="5"/>
      <c r="H109" s="5"/>
      <c r="I109" s="5"/>
      <c r="J109" s="1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11"/>
      <c r="AC109" s="11"/>
      <c r="AD109" s="5"/>
      <c r="AE109" s="5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</row>
    <row r="110" spans="1:100" ht="15.75" customHeight="1">
      <c r="A110" s="5"/>
      <c r="B110" s="5"/>
      <c r="C110" s="5"/>
      <c r="D110" s="11"/>
      <c r="E110" s="11"/>
      <c r="F110" s="11"/>
      <c r="G110" s="5"/>
      <c r="H110" s="5"/>
      <c r="I110" s="5"/>
      <c r="J110" s="1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11"/>
      <c r="AC110" s="11"/>
      <c r="AD110" s="5"/>
      <c r="AE110" s="5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</row>
    <row r="111" spans="1:100" ht="15.75" customHeight="1">
      <c r="A111" s="5"/>
      <c r="B111" s="5"/>
      <c r="C111" s="5"/>
      <c r="D111" s="11"/>
      <c r="E111" s="11"/>
      <c r="F111" s="11"/>
      <c r="G111" s="5"/>
      <c r="H111" s="5"/>
      <c r="I111" s="5"/>
      <c r="J111" s="1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11"/>
      <c r="AC111" s="11"/>
      <c r="AD111" s="5"/>
      <c r="AE111" s="5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</row>
    <row r="112" spans="1:100" ht="15.75" customHeight="1">
      <c r="A112" s="5"/>
      <c r="B112" s="5"/>
      <c r="C112" s="5"/>
      <c r="D112" s="11"/>
      <c r="E112" s="11"/>
      <c r="F112" s="11"/>
      <c r="G112" s="5"/>
      <c r="H112" s="5"/>
      <c r="I112" s="5"/>
      <c r="J112" s="1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11"/>
      <c r="AC112" s="11"/>
      <c r="AD112" s="5"/>
      <c r="AE112" s="5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</row>
    <row r="113" spans="1:100" ht="15.75" customHeight="1">
      <c r="A113" s="5"/>
      <c r="B113" s="5"/>
      <c r="C113" s="5"/>
      <c r="D113" s="11"/>
      <c r="E113" s="11"/>
      <c r="F113" s="11"/>
      <c r="G113" s="5"/>
      <c r="H113" s="5"/>
      <c r="I113" s="5"/>
      <c r="J113" s="1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11"/>
      <c r="AC113" s="11"/>
      <c r="AD113" s="5"/>
      <c r="AE113" s="5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</row>
    <row r="114" spans="1:100" ht="15.75" customHeight="1">
      <c r="A114" s="5"/>
      <c r="B114" s="5"/>
      <c r="C114" s="5"/>
      <c r="D114" s="11"/>
      <c r="E114" s="11"/>
      <c r="F114" s="11"/>
      <c r="G114" s="5"/>
      <c r="H114" s="5"/>
      <c r="I114" s="5"/>
      <c r="J114" s="1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11"/>
      <c r="AC114" s="11"/>
      <c r="AD114" s="5"/>
      <c r="AE114" s="5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</row>
    <row r="115" spans="1:100" ht="15.75" customHeight="1">
      <c r="A115" s="5"/>
      <c r="B115" s="5"/>
      <c r="C115" s="5"/>
      <c r="D115" s="11"/>
      <c r="E115" s="11"/>
      <c r="F115" s="11"/>
      <c r="G115" s="5"/>
      <c r="H115" s="5"/>
      <c r="I115" s="5"/>
      <c r="J115" s="1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11"/>
      <c r="AC115" s="11"/>
      <c r="AD115" s="5"/>
      <c r="AE115" s="5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</row>
    <row r="116" spans="1:100" ht="15.75" customHeight="1">
      <c r="A116" s="5"/>
      <c r="B116" s="5"/>
      <c r="C116" s="5"/>
      <c r="D116" s="11"/>
      <c r="E116" s="11"/>
      <c r="F116" s="11"/>
      <c r="G116" s="5"/>
      <c r="H116" s="5"/>
      <c r="I116" s="5"/>
      <c r="J116" s="1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11"/>
      <c r="AC116" s="11"/>
      <c r="AD116" s="5"/>
      <c r="AE116" s="5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</row>
    <row r="117" spans="1:100" ht="15.75" customHeight="1">
      <c r="A117" s="5"/>
      <c r="B117" s="5"/>
      <c r="C117" s="5"/>
      <c r="D117" s="11"/>
      <c r="E117" s="11"/>
      <c r="F117" s="11"/>
      <c r="G117" s="5"/>
      <c r="H117" s="5"/>
      <c r="I117" s="5"/>
      <c r="J117" s="1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11"/>
      <c r="AC117" s="11"/>
      <c r="AD117" s="5"/>
      <c r="AE117" s="5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</row>
    <row r="118" spans="1:100" ht="15.75" customHeight="1">
      <c r="A118" s="5"/>
      <c r="B118" s="5"/>
      <c r="C118" s="5"/>
      <c r="D118" s="11"/>
      <c r="E118" s="11"/>
      <c r="F118" s="11"/>
      <c r="G118" s="5"/>
      <c r="H118" s="5"/>
      <c r="I118" s="5"/>
      <c r="J118" s="1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11"/>
      <c r="AC118" s="11"/>
      <c r="AD118" s="5"/>
      <c r="AE118" s="5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</row>
    <row r="119" spans="1:100" ht="15.75" customHeight="1">
      <c r="A119" s="5"/>
      <c r="B119" s="5"/>
      <c r="C119" s="5"/>
      <c r="D119" s="11"/>
      <c r="E119" s="11"/>
      <c r="F119" s="11"/>
      <c r="G119" s="5"/>
      <c r="H119" s="5"/>
      <c r="I119" s="5"/>
      <c r="J119" s="1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11"/>
      <c r="AC119" s="11"/>
      <c r="AD119" s="5"/>
      <c r="AE119" s="5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</row>
    <row r="120" spans="1:100" ht="15.75" customHeight="1">
      <c r="A120" s="5"/>
      <c r="B120" s="5"/>
      <c r="C120" s="5"/>
      <c r="D120" s="11"/>
      <c r="E120" s="11"/>
      <c r="F120" s="11"/>
      <c r="G120" s="5"/>
      <c r="H120" s="5"/>
      <c r="I120" s="5"/>
      <c r="J120" s="1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11"/>
      <c r="AC120" s="11"/>
      <c r="AD120" s="5"/>
      <c r="AE120" s="5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</row>
    <row r="121" spans="1:100" ht="15.75" customHeight="1">
      <c r="A121" s="5"/>
      <c r="B121" s="5"/>
      <c r="C121" s="5"/>
      <c r="D121" s="11"/>
      <c r="E121" s="11"/>
      <c r="F121" s="11"/>
      <c r="G121" s="5"/>
      <c r="H121" s="5"/>
      <c r="I121" s="5"/>
      <c r="J121" s="1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11"/>
      <c r="AC121" s="11"/>
      <c r="AD121" s="5"/>
      <c r="AE121" s="5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</row>
    <row r="122" spans="1:100" ht="15.75" customHeight="1">
      <c r="A122" s="5"/>
      <c r="B122" s="5"/>
      <c r="C122" s="5"/>
      <c r="D122" s="11"/>
      <c r="E122" s="11"/>
      <c r="F122" s="11"/>
      <c r="G122" s="5"/>
      <c r="H122" s="5"/>
      <c r="I122" s="5"/>
      <c r="J122" s="1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11"/>
      <c r="AC122" s="11"/>
      <c r="AD122" s="5"/>
      <c r="AE122" s="5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</row>
    <row r="123" spans="1:100" ht="15.75" customHeight="1">
      <c r="A123" s="5"/>
      <c r="B123" s="5"/>
      <c r="C123" s="5"/>
      <c r="D123" s="11"/>
      <c r="E123" s="11"/>
      <c r="F123" s="11"/>
      <c r="G123" s="5"/>
      <c r="H123" s="5"/>
      <c r="I123" s="5"/>
      <c r="J123" s="1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11"/>
      <c r="AC123" s="11"/>
      <c r="AD123" s="5"/>
      <c r="AE123" s="5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</row>
    <row r="124" spans="1:100" ht="15.75" customHeight="1">
      <c r="A124" s="5"/>
      <c r="B124" s="5"/>
      <c r="C124" s="5"/>
      <c r="D124" s="11"/>
      <c r="E124" s="11"/>
      <c r="F124" s="11"/>
      <c r="G124" s="5"/>
      <c r="H124" s="5"/>
      <c r="I124" s="5"/>
      <c r="J124" s="1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11"/>
      <c r="AC124" s="11"/>
      <c r="AD124" s="5"/>
      <c r="AE124" s="5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</row>
    <row r="125" spans="1:100" ht="15.75" customHeight="1">
      <c r="A125" s="5"/>
      <c r="B125" s="5"/>
      <c r="C125" s="5"/>
      <c r="D125" s="11"/>
      <c r="E125" s="11"/>
      <c r="F125" s="11"/>
      <c r="G125" s="5"/>
      <c r="H125" s="5"/>
      <c r="I125" s="5"/>
      <c r="J125" s="1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11"/>
      <c r="AC125" s="11"/>
      <c r="AD125" s="5"/>
      <c r="AE125" s="5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</row>
    <row r="126" spans="1:100" ht="15.75" customHeight="1">
      <c r="A126" s="5"/>
      <c r="B126" s="5"/>
      <c r="C126" s="5"/>
      <c r="D126" s="11"/>
      <c r="E126" s="11"/>
      <c r="F126" s="11"/>
      <c r="G126" s="5"/>
      <c r="H126" s="5"/>
      <c r="I126" s="5"/>
      <c r="J126" s="1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11"/>
      <c r="AC126" s="11"/>
      <c r="AD126" s="5"/>
      <c r="AE126" s="5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</row>
    <row r="127" spans="1:100" ht="15.75" customHeight="1">
      <c r="A127" s="5"/>
      <c r="B127" s="5"/>
      <c r="C127" s="5"/>
      <c r="D127" s="11"/>
      <c r="E127" s="11"/>
      <c r="F127" s="11"/>
      <c r="G127" s="5"/>
      <c r="H127" s="5"/>
      <c r="I127" s="5"/>
      <c r="J127" s="1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11"/>
      <c r="AC127" s="11"/>
      <c r="AD127" s="5"/>
      <c r="AE127" s="5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</row>
    <row r="128" spans="1:100" ht="15.75" customHeight="1">
      <c r="A128" s="5"/>
      <c r="B128" s="5"/>
      <c r="C128" s="5"/>
      <c r="D128" s="11"/>
      <c r="E128" s="11"/>
      <c r="F128" s="11"/>
      <c r="G128" s="5"/>
      <c r="H128" s="5"/>
      <c r="I128" s="5"/>
      <c r="J128" s="1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11"/>
      <c r="AC128" s="11"/>
      <c r="AD128" s="5"/>
      <c r="AE128" s="5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</row>
    <row r="129" spans="1:100" ht="15.75" customHeight="1">
      <c r="A129" s="5"/>
      <c r="B129" s="5"/>
      <c r="C129" s="5"/>
      <c r="D129" s="11"/>
      <c r="E129" s="11"/>
      <c r="F129" s="11"/>
      <c r="G129" s="5"/>
      <c r="H129" s="5"/>
      <c r="I129" s="5"/>
      <c r="J129" s="1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11"/>
      <c r="AC129" s="11"/>
      <c r="AD129" s="5"/>
      <c r="AE129" s="5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</row>
    <row r="130" spans="1:100" ht="15.75" customHeight="1">
      <c r="A130" s="5"/>
      <c r="B130" s="5"/>
      <c r="C130" s="5"/>
      <c r="D130" s="11"/>
      <c r="E130" s="11"/>
      <c r="F130" s="11"/>
      <c r="G130" s="5"/>
      <c r="H130" s="5"/>
      <c r="I130" s="5"/>
      <c r="J130" s="1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11"/>
      <c r="AC130" s="11"/>
      <c r="AD130" s="5"/>
      <c r="AE130" s="5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</row>
    <row r="131" spans="1:100" ht="15.75" customHeight="1">
      <c r="A131" s="5"/>
      <c r="B131" s="5"/>
      <c r="C131" s="5"/>
      <c r="D131" s="11"/>
      <c r="E131" s="11"/>
      <c r="F131" s="11"/>
      <c r="G131" s="5"/>
      <c r="H131" s="5"/>
      <c r="I131" s="5"/>
      <c r="J131" s="1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11"/>
      <c r="AC131" s="11"/>
      <c r="AD131" s="5"/>
      <c r="AE131" s="5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</row>
    <row r="132" spans="1:100" ht="15.75" customHeight="1">
      <c r="A132" s="5"/>
      <c r="B132" s="5"/>
      <c r="C132" s="5"/>
      <c r="D132" s="11"/>
      <c r="E132" s="11"/>
      <c r="F132" s="11"/>
      <c r="G132" s="5"/>
      <c r="H132" s="5"/>
      <c r="I132" s="5"/>
      <c r="J132" s="1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11"/>
      <c r="AC132" s="11"/>
      <c r="AD132" s="5"/>
      <c r="AE132" s="5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</row>
    <row r="133" spans="1:100" ht="15.75" customHeight="1">
      <c r="A133" s="5"/>
      <c r="B133" s="5"/>
      <c r="C133" s="5"/>
      <c r="D133" s="11"/>
      <c r="E133" s="11"/>
      <c r="F133" s="11"/>
      <c r="G133" s="5"/>
      <c r="H133" s="5"/>
      <c r="I133" s="5"/>
      <c r="J133" s="1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11"/>
      <c r="AC133" s="11"/>
      <c r="AD133" s="5"/>
      <c r="AE133" s="5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</row>
    <row r="134" spans="1:100" ht="15.75" customHeight="1">
      <c r="A134" s="5"/>
      <c r="B134" s="5"/>
      <c r="C134" s="5"/>
      <c r="D134" s="11"/>
      <c r="E134" s="11"/>
      <c r="F134" s="11"/>
      <c r="G134" s="5"/>
      <c r="H134" s="5"/>
      <c r="I134" s="5"/>
      <c r="J134" s="1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11"/>
      <c r="AC134" s="11"/>
      <c r="AD134" s="5"/>
      <c r="AE134" s="5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</row>
    <row r="135" spans="1:100" ht="15.75" customHeight="1">
      <c r="A135" s="5"/>
      <c r="B135" s="5"/>
      <c r="C135" s="5"/>
      <c r="D135" s="11"/>
      <c r="E135" s="11"/>
      <c r="F135" s="11"/>
      <c r="G135" s="5"/>
      <c r="H135" s="5"/>
      <c r="I135" s="5"/>
      <c r="J135" s="1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11"/>
      <c r="AC135" s="11"/>
      <c r="AD135" s="5"/>
      <c r="AE135" s="5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</row>
    <row r="136" spans="1:100" ht="15.75" customHeight="1">
      <c r="A136" s="5"/>
      <c r="B136" s="5"/>
      <c r="C136" s="5"/>
      <c r="D136" s="11"/>
      <c r="E136" s="11"/>
      <c r="F136" s="11"/>
      <c r="G136" s="5"/>
      <c r="H136" s="5"/>
      <c r="I136" s="5"/>
      <c r="J136" s="1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11"/>
      <c r="AC136" s="11"/>
      <c r="AD136" s="5"/>
      <c r="AE136" s="5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</row>
    <row r="137" spans="1:100" ht="15.75" customHeight="1">
      <c r="A137" s="5"/>
      <c r="B137" s="5"/>
      <c r="C137" s="5"/>
      <c r="D137" s="11"/>
      <c r="E137" s="11"/>
      <c r="F137" s="11"/>
      <c r="G137" s="5"/>
      <c r="H137" s="5"/>
      <c r="I137" s="5"/>
      <c r="J137" s="1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11"/>
      <c r="AC137" s="11"/>
      <c r="AD137" s="5"/>
      <c r="AE137" s="5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</row>
    <row r="138" spans="1:100" ht="15.75" customHeight="1">
      <c r="A138" s="5"/>
      <c r="B138" s="5"/>
      <c r="C138" s="5"/>
      <c r="D138" s="11"/>
      <c r="E138" s="11"/>
      <c r="F138" s="11"/>
      <c r="G138" s="5"/>
      <c r="H138" s="5"/>
      <c r="I138" s="5"/>
      <c r="J138" s="1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11"/>
      <c r="AC138" s="11"/>
      <c r="AD138" s="5"/>
      <c r="AE138" s="5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</row>
    <row r="139" spans="1:100" ht="15.75" customHeight="1">
      <c r="A139" s="5"/>
      <c r="B139" s="5"/>
      <c r="C139" s="5"/>
      <c r="D139" s="11"/>
      <c r="E139" s="11"/>
      <c r="F139" s="11"/>
      <c r="G139" s="5"/>
      <c r="H139" s="5"/>
      <c r="I139" s="5"/>
      <c r="J139" s="1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11"/>
      <c r="AC139" s="11"/>
      <c r="AD139" s="5"/>
      <c r="AE139" s="5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</row>
    <row r="140" spans="1:100" ht="15.75" customHeight="1">
      <c r="A140" s="5"/>
      <c r="B140" s="5"/>
      <c r="C140" s="5"/>
      <c r="D140" s="11"/>
      <c r="E140" s="11"/>
      <c r="F140" s="11"/>
      <c r="G140" s="5"/>
      <c r="H140" s="5"/>
      <c r="I140" s="5"/>
      <c r="J140" s="1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11"/>
      <c r="AC140" s="11"/>
      <c r="AD140" s="5"/>
      <c r="AE140" s="5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</row>
    <row r="141" spans="1:100" ht="15.75" customHeight="1">
      <c r="A141" s="5"/>
      <c r="B141" s="5"/>
      <c r="C141" s="5"/>
      <c r="D141" s="11"/>
      <c r="E141" s="11"/>
      <c r="F141" s="11"/>
      <c r="G141" s="5"/>
      <c r="H141" s="5"/>
      <c r="I141" s="5"/>
      <c r="J141" s="1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11"/>
      <c r="AC141" s="11"/>
      <c r="AD141" s="5"/>
      <c r="AE141" s="5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</row>
    <row r="142" spans="1:100" ht="15.75" customHeight="1">
      <c r="A142" s="5"/>
      <c r="B142" s="5"/>
      <c r="C142" s="5"/>
      <c r="D142" s="11"/>
      <c r="E142" s="11"/>
      <c r="F142" s="11"/>
      <c r="G142" s="5"/>
      <c r="H142" s="5"/>
      <c r="I142" s="5"/>
      <c r="J142" s="1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11"/>
      <c r="AC142" s="11"/>
      <c r="AD142" s="5"/>
      <c r="AE142" s="5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</row>
    <row r="143" spans="1:100" ht="15.75" customHeight="1">
      <c r="A143" s="5"/>
      <c r="B143" s="5"/>
      <c r="C143" s="5"/>
      <c r="D143" s="11"/>
      <c r="E143" s="11"/>
      <c r="F143" s="11"/>
      <c r="G143" s="5"/>
      <c r="H143" s="5"/>
      <c r="I143" s="5"/>
      <c r="J143" s="1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11"/>
      <c r="AC143" s="11"/>
      <c r="AD143" s="5"/>
      <c r="AE143" s="5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</row>
    <row r="144" spans="1:100" ht="15.75" customHeight="1">
      <c r="A144" s="5"/>
      <c r="B144" s="5"/>
      <c r="C144" s="5"/>
      <c r="D144" s="11"/>
      <c r="E144" s="11"/>
      <c r="F144" s="11"/>
      <c r="G144" s="5"/>
      <c r="H144" s="5"/>
      <c r="I144" s="5"/>
      <c r="J144" s="1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11"/>
      <c r="AC144" s="11"/>
      <c r="AD144" s="5"/>
      <c r="AE144" s="5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</row>
    <row r="145" spans="1:100" ht="15.75" customHeight="1">
      <c r="A145" s="5"/>
      <c r="B145" s="5"/>
      <c r="C145" s="5"/>
      <c r="D145" s="11"/>
      <c r="E145" s="11"/>
      <c r="F145" s="11"/>
      <c r="G145" s="5"/>
      <c r="H145" s="5"/>
      <c r="I145" s="5"/>
      <c r="J145" s="1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11"/>
      <c r="AC145" s="11"/>
      <c r="AD145" s="5"/>
      <c r="AE145" s="5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</row>
    <row r="146" spans="1:100" ht="15.75" customHeight="1">
      <c r="A146" s="5"/>
      <c r="B146" s="5"/>
      <c r="C146" s="5"/>
      <c r="D146" s="11"/>
      <c r="E146" s="11"/>
      <c r="F146" s="11"/>
      <c r="G146" s="5"/>
      <c r="H146" s="5"/>
      <c r="I146" s="5"/>
      <c r="J146" s="1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11"/>
      <c r="AC146" s="11"/>
      <c r="AD146" s="5"/>
      <c r="AE146" s="5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</row>
    <row r="147" spans="1:100" ht="15.75" customHeight="1">
      <c r="A147" s="5"/>
      <c r="B147" s="5"/>
      <c r="C147" s="5"/>
      <c r="D147" s="11"/>
      <c r="E147" s="11"/>
      <c r="F147" s="11"/>
      <c r="G147" s="5"/>
      <c r="H147" s="5"/>
      <c r="I147" s="5"/>
      <c r="J147" s="1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11"/>
      <c r="AC147" s="11"/>
      <c r="AD147" s="5"/>
      <c r="AE147" s="5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</row>
    <row r="148" spans="1:100" ht="15.75" customHeight="1">
      <c r="A148" s="5"/>
      <c r="B148" s="5"/>
      <c r="C148" s="5"/>
      <c r="D148" s="11"/>
      <c r="E148" s="11"/>
      <c r="F148" s="11"/>
      <c r="G148" s="5"/>
      <c r="H148" s="5"/>
      <c r="I148" s="5"/>
      <c r="J148" s="1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11"/>
      <c r="AC148" s="11"/>
      <c r="AD148" s="5"/>
      <c r="AE148" s="5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</row>
    <row r="149" spans="1:100" ht="15.75" customHeight="1">
      <c r="A149" s="5"/>
      <c r="B149" s="5"/>
      <c r="C149" s="5"/>
      <c r="D149" s="11"/>
      <c r="E149" s="11"/>
      <c r="F149" s="11"/>
      <c r="G149" s="5"/>
      <c r="H149" s="5"/>
      <c r="I149" s="5"/>
      <c r="J149" s="1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11"/>
      <c r="AC149" s="11"/>
      <c r="AD149" s="5"/>
      <c r="AE149" s="5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</row>
    <row r="150" spans="1:100" ht="15.75" customHeight="1">
      <c r="A150" s="5"/>
      <c r="B150" s="5"/>
      <c r="C150" s="5"/>
      <c r="D150" s="11"/>
      <c r="E150" s="11"/>
      <c r="F150" s="11"/>
      <c r="G150" s="5"/>
      <c r="H150" s="5"/>
      <c r="I150" s="5"/>
      <c r="J150" s="1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11"/>
      <c r="AC150" s="11"/>
      <c r="AD150" s="5"/>
      <c r="AE150" s="5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</row>
    <row r="151" spans="1:100" ht="15.75" customHeight="1">
      <c r="A151" s="5"/>
      <c r="B151" s="5"/>
      <c r="C151" s="5"/>
      <c r="D151" s="11"/>
      <c r="E151" s="11"/>
      <c r="F151" s="11"/>
      <c r="G151" s="5"/>
      <c r="H151" s="5"/>
      <c r="I151" s="5"/>
      <c r="J151" s="1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11"/>
      <c r="AC151" s="11"/>
      <c r="AD151" s="5"/>
      <c r="AE151" s="5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</row>
    <row r="152" spans="1:100" ht="15.75" customHeight="1">
      <c r="A152" s="5"/>
      <c r="B152" s="5"/>
      <c r="C152" s="5"/>
      <c r="D152" s="11"/>
      <c r="E152" s="11"/>
      <c r="F152" s="11"/>
      <c r="G152" s="5"/>
      <c r="H152" s="5"/>
      <c r="I152" s="5"/>
      <c r="J152" s="1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11"/>
      <c r="AC152" s="11"/>
      <c r="AD152" s="5"/>
      <c r="AE152" s="5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</row>
    <row r="153" spans="1:100" ht="15.75" customHeight="1">
      <c r="A153" s="5"/>
      <c r="B153" s="5"/>
      <c r="C153" s="5"/>
      <c r="D153" s="11"/>
      <c r="E153" s="11"/>
      <c r="F153" s="11"/>
      <c r="G153" s="5"/>
      <c r="H153" s="5"/>
      <c r="I153" s="5"/>
      <c r="J153" s="1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11"/>
      <c r="AC153" s="11"/>
      <c r="AD153" s="5"/>
      <c r="AE153" s="5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</row>
    <row r="154" spans="1:100" ht="15.75" customHeight="1">
      <c r="A154" s="5"/>
      <c r="B154" s="5"/>
      <c r="C154" s="5"/>
      <c r="D154" s="11"/>
      <c r="E154" s="11"/>
      <c r="F154" s="11"/>
      <c r="G154" s="5"/>
      <c r="H154" s="5"/>
      <c r="I154" s="5"/>
      <c r="J154" s="1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11"/>
      <c r="AC154" s="11"/>
      <c r="AD154" s="5"/>
      <c r="AE154" s="5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</row>
    <row r="155" spans="1:100" ht="15.75" customHeight="1">
      <c r="A155" s="5"/>
      <c r="B155" s="5"/>
      <c r="C155" s="5"/>
      <c r="D155" s="11"/>
      <c r="E155" s="11"/>
      <c r="F155" s="11"/>
      <c r="G155" s="5"/>
      <c r="H155" s="5"/>
      <c r="I155" s="5"/>
      <c r="J155" s="1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11"/>
      <c r="AC155" s="11"/>
      <c r="AD155" s="5"/>
      <c r="AE155" s="5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</row>
    <row r="156" spans="1:100" ht="15.75" customHeight="1">
      <c r="A156" s="5"/>
      <c r="B156" s="5"/>
      <c r="C156" s="5"/>
      <c r="D156" s="11"/>
      <c r="E156" s="11"/>
      <c r="F156" s="11"/>
      <c r="G156" s="5"/>
      <c r="H156" s="5"/>
      <c r="I156" s="5"/>
      <c r="J156" s="1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11"/>
      <c r="AC156" s="11"/>
      <c r="AD156" s="5"/>
      <c r="AE156" s="5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</row>
    <row r="157" spans="1:100" ht="15.75" customHeight="1">
      <c r="A157" s="5"/>
      <c r="B157" s="5"/>
      <c r="C157" s="5"/>
      <c r="D157" s="11"/>
      <c r="E157" s="11"/>
      <c r="F157" s="11"/>
      <c r="G157" s="5"/>
      <c r="H157" s="5"/>
      <c r="I157" s="5"/>
      <c r="J157" s="1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11"/>
      <c r="AC157" s="11"/>
      <c r="AD157" s="5"/>
      <c r="AE157" s="5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</row>
    <row r="158" spans="1:100" ht="15.75" customHeight="1">
      <c r="A158" s="5"/>
      <c r="B158" s="5"/>
      <c r="C158" s="5"/>
      <c r="D158" s="11"/>
      <c r="E158" s="11"/>
      <c r="F158" s="11"/>
      <c r="G158" s="5"/>
      <c r="H158" s="5"/>
      <c r="I158" s="5"/>
      <c r="J158" s="1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11"/>
      <c r="AC158" s="11"/>
      <c r="AD158" s="5"/>
      <c r="AE158" s="5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</row>
    <row r="159" spans="1:100" ht="15.75" customHeight="1">
      <c r="A159" s="5"/>
      <c r="B159" s="5"/>
      <c r="C159" s="5"/>
      <c r="D159" s="11"/>
      <c r="E159" s="11"/>
      <c r="F159" s="11"/>
      <c r="G159" s="5"/>
      <c r="H159" s="5"/>
      <c r="I159" s="5"/>
      <c r="J159" s="1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11"/>
      <c r="AC159" s="11"/>
      <c r="AD159" s="5"/>
      <c r="AE159" s="5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</row>
    <row r="160" spans="1:100" ht="15.75" customHeight="1">
      <c r="A160" s="5"/>
      <c r="B160" s="5"/>
      <c r="C160" s="5"/>
      <c r="D160" s="11"/>
      <c r="E160" s="11"/>
      <c r="F160" s="11"/>
      <c r="G160" s="5"/>
      <c r="H160" s="5"/>
      <c r="I160" s="5"/>
      <c r="J160" s="1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11"/>
      <c r="AC160" s="11"/>
      <c r="AD160" s="5"/>
      <c r="AE160" s="5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</row>
    <row r="161" spans="1:100" ht="15.75" customHeight="1">
      <c r="A161" s="5"/>
      <c r="B161" s="5"/>
      <c r="C161" s="5"/>
      <c r="D161" s="11"/>
      <c r="E161" s="11"/>
      <c r="F161" s="11"/>
      <c r="G161" s="5"/>
      <c r="H161" s="5"/>
      <c r="I161" s="5"/>
      <c r="J161" s="1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11"/>
      <c r="AC161" s="11"/>
      <c r="AD161" s="5"/>
      <c r="AE161" s="5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</row>
    <row r="162" spans="1:100" ht="15.75" customHeight="1">
      <c r="A162" s="5"/>
      <c r="B162" s="5"/>
      <c r="C162" s="5"/>
      <c r="D162" s="11"/>
      <c r="E162" s="11"/>
      <c r="F162" s="11"/>
      <c r="G162" s="5"/>
      <c r="H162" s="5"/>
      <c r="I162" s="5"/>
      <c r="J162" s="1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11"/>
      <c r="AC162" s="11"/>
      <c r="AD162" s="5"/>
      <c r="AE162" s="5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</row>
    <row r="163" spans="1:100" ht="15.75" customHeight="1">
      <c r="A163" s="5"/>
      <c r="B163" s="5"/>
      <c r="C163" s="5"/>
      <c r="D163" s="11"/>
      <c r="E163" s="11"/>
      <c r="F163" s="11"/>
      <c r="G163" s="5"/>
      <c r="H163" s="5"/>
      <c r="I163" s="5"/>
      <c r="J163" s="1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11"/>
      <c r="AC163" s="11"/>
      <c r="AD163" s="5"/>
      <c r="AE163" s="5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</row>
    <row r="164" spans="1:100" ht="15.75" customHeight="1">
      <c r="A164" s="5"/>
      <c r="B164" s="5"/>
      <c r="C164" s="5"/>
      <c r="D164" s="11"/>
      <c r="E164" s="11"/>
      <c r="F164" s="11"/>
      <c r="G164" s="5"/>
      <c r="H164" s="5"/>
      <c r="I164" s="5"/>
      <c r="J164" s="1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11"/>
      <c r="AC164" s="11"/>
      <c r="AD164" s="5"/>
      <c r="AE164" s="5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</row>
    <row r="165" spans="1:100" ht="15.75" customHeight="1">
      <c r="A165" s="5"/>
      <c r="B165" s="5"/>
      <c r="C165" s="5"/>
      <c r="D165" s="11"/>
      <c r="E165" s="11"/>
      <c r="F165" s="11"/>
      <c r="G165" s="5"/>
      <c r="H165" s="5"/>
      <c r="I165" s="5"/>
      <c r="J165" s="1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11"/>
      <c r="AC165" s="11"/>
      <c r="AD165" s="5"/>
      <c r="AE165" s="5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</row>
    <row r="166" spans="1:100" ht="15.75" customHeight="1">
      <c r="A166" s="5"/>
      <c r="B166" s="5"/>
      <c r="C166" s="5"/>
      <c r="D166" s="11"/>
      <c r="E166" s="11"/>
      <c r="F166" s="11"/>
      <c r="G166" s="5"/>
      <c r="H166" s="5"/>
      <c r="I166" s="5"/>
      <c r="J166" s="1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11"/>
      <c r="AC166" s="11"/>
      <c r="AD166" s="5"/>
      <c r="AE166" s="5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</row>
    <row r="167" spans="1:100" ht="15.75" customHeight="1">
      <c r="A167" s="5"/>
      <c r="B167" s="5"/>
      <c r="C167" s="5"/>
      <c r="D167" s="11"/>
      <c r="E167" s="11"/>
      <c r="F167" s="11"/>
      <c r="G167" s="5"/>
      <c r="H167" s="5"/>
      <c r="I167" s="5"/>
      <c r="J167" s="1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11"/>
      <c r="AC167" s="11"/>
      <c r="AD167" s="5"/>
      <c r="AE167" s="5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</row>
    <row r="168" spans="1:100" ht="15.75" customHeight="1">
      <c r="A168" s="5"/>
      <c r="B168" s="5"/>
      <c r="C168" s="5"/>
      <c r="D168" s="11"/>
      <c r="E168" s="11"/>
      <c r="F168" s="11"/>
      <c r="G168" s="5"/>
      <c r="H168" s="5"/>
      <c r="I168" s="5"/>
      <c r="J168" s="1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11"/>
      <c r="AC168" s="11"/>
      <c r="AD168" s="5"/>
      <c r="AE168" s="5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</row>
    <row r="169" spans="1:100" ht="15.75" customHeight="1">
      <c r="A169" s="5"/>
      <c r="B169" s="5"/>
      <c r="C169" s="5"/>
      <c r="D169" s="11"/>
      <c r="E169" s="11"/>
      <c r="F169" s="11"/>
      <c r="G169" s="5"/>
      <c r="H169" s="5"/>
      <c r="I169" s="5"/>
      <c r="J169" s="1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11"/>
      <c r="AC169" s="11"/>
      <c r="AD169" s="5"/>
      <c r="AE169" s="5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</row>
    <row r="170" spans="1:100" ht="15.75" customHeight="1">
      <c r="A170" s="5"/>
      <c r="B170" s="5"/>
      <c r="C170" s="5"/>
      <c r="D170" s="11"/>
      <c r="E170" s="11"/>
      <c r="F170" s="11"/>
      <c r="G170" s="5"/>
      <c r="H170" s="5"/>
      <c r="I170" s="5"/>
      <c r="J170" s="1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11"/>
      <c r="AC170" s="11"/>
      <c r="AD170" s="5"/>
      <c r="AE170" s="5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</row>
    <row r="171" spans="1:100" ht="15.75" customHeight="1">
      <c r="A171" s="5"/>
      <c r="B171" s="5"/>
      <c r="C171" s="5"/>
      <c r="D171" s="11"/>
      <c r="E171" s="11"/>
      <c r="F171" s="11"/>
      <c r="G171" s="5"/>
      <c r="H171" s="5"/>
      <c r="I171" s="5"/>
      <c r="J171" s="1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11"/>
      <c r="AC171" s="11"/>
      <c r="AD171" s="5"/>
      <c r="AE171" s="5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</row>
    <row r="172" spans="1:100" ht="15.75" customHeight="1">
      <c r="A172" s="5"/>
      <c r="B172" s="5"/>
      <c r="C172" s="5"/>
      <c r="D172" s="11"/>
      <c r="E172" s="11"/>
      <c r="F172" s="11"/>
      <c r="G172" s="5"/>
      <c r="H172" s="5"/>
      <c r="I172" s="5"/>
      <c r="J172" s="1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11"/>
      <c r="AC172" s="11"/>
      <c r="AD172" s="5"/>
      <c r="AE172" s="5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</row>
    <row r="173" spans="1:100" ht="15.75" customHeight="1">
      <c r="A173" s="5"/>
      <c r="B173" s="5"/>
      <c r="C173" s="5"/>
      <c r="D173" s="11"/>
      <c r="E173" s="11"/>
      <c r="F173" s="11"/>
      <c r="G173" s="5"/>
      <c r="H173" s="5"/>
      <c r="I173" s="5"/>
      <c r="J173" s="1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11"/>
      <c r="AC173" s="11"/>
      <c r="AD173" s="5"/>
      <c r="AE173" s="5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</row>
    <row r="174" spans="1:100" ht="15.75" customHeight="1">
      <c r="A174" s="5"/>
      <c r="B174" s="5"/>
      <c r="C174" s="5"/>
      <c r="D174" s="11"/>
      <c r="E174" s="11"/>
      <c r="F174" s="11"/>
      <c r="G174" s="5"/>
      <c r="H174" s="5"/>
      <c r="I174" s="5"/>
      <c r="J174" s="1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11"/>
      <c r="AC174" s="11"/>
      <c r="AD174" s="5"/>
      <c r="AE174" s="5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</row>
    <row r="175" spans="1:100" ht="15.75" customHeight="1">
      <c r="A175" s="5"/>
      <c r="B175" s="5"/>
      <c r="C175" s="5"/>
      <c r="D175" s="11"/>
      <c r="E175" s="11"/>
      <c r="F175" s="11"/>
      <c r="G175" s="5"/>
      <c r="H175" s="5"/>
      <c r="I175" s="5"/>
      <c r="J175" s="1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11"/>
      <c r="AC175" s="11"/>
      <c r="AD175" s="5"/>
      <c r="AE175" s="5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</row>
    <row r="176" spans="1:100" ht="15.75" customHeight="1">
      <c r="A176" s="5"/>
      <c r="B176" s="5"/>
      <c r="C176" s="5"/>
      <c r="D176" s="11"/>
      <c r="E176" s="11"/>
      <c r="F176" s="11"/>
      <c r="G176" s="5"/>
      <c r="H176" s="5"/>
      <c r="I176" s="5"/>
      <c r="J176" s="1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11"/>
      <c r="AC176" s="11"/>
      <c r="AD176" s="5"/>
      <c r="AE176" s="5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</row>
    <row r="177" spans="1:100" ht="15.75" customHeight="1">
      <c r="A177" s="5"/>
      <c r="B177" s="5"/>
      <c r="C177" s="5"/>
      <c r="D177" s="11"/>
      <c r="E177" s="11"/>
      <c r="F177" s="11"/>
      <c r="G177" s="5"/>
      <c r="H177" s="5"/>
      <c r="I177" s="5"/>
      <c r="J177" s="1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11"/>
      <c r="AC177" s="11"/>
      <c r="AD177" s="5"/>
      <c r="AE177" s="5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</row>
    <row r="178" spans="1:100" ht="15.75" customHeight="1">
      <c r="A178" s="5"/>
      <c r="B178" s="5"/>
      <c r="C178" s="5"/>
      <c r="D178" s="11"/>
      <c r="E178" s="11"/>
      <c r="F178" s="11"/>
      <c r="G178" s="5"/>
      <c r="H178" s="5"/>
      <c r="I178" s="5"/>
      <c r="J178" s="1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11"/>
      <c r="AC178" s="11"/>
      <c r="AD178" s="5"/>
      <c r="AE178" s="5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</row>
    <row r="179" spans="1:100" ht="15.75" customHeight="1">
      <c r="A179" s="5"/>
      <c r="B179" s="5"/>
      <c r="C179" s="5"/>
      <c r="D179" s="11"/>
      <c r="E179" s="11"/>
      <c r="F179" s="11"/>
      <c r="G179" s="5"/>
      <c r="H179" s="5"/>
      <c r="I179" s="5"/>
      <c r="J179" s="1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11"/>
      <c r="AC179" s="11"/>
      <c r="AD179" s="5"/>
      <c r="AE179" s="5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</row>
    <row r="180" spans="1:100" ht="15.75" customHeight="1">
      <c r="A180" s="5"/>
      <c r="B180" s="5"/>
      <c r="C180" s="5"/>
      <c r="D180" s="11"/>
      <c r="E180" s="11"/>
      <c r="F180" s="11"/>
      <c r="G180" s="5"/>
      <c r="H180" s="5"/>
      <c r="I180" s="5"/>
      <c r="J180" s="1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11"/>
      <c r="AC180" s="11"/>
      <c r="AD180" s="5"/>
      <c r="AE180" s="5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</row>
    <row r="181" spans="1:100" ht="15.75" customHeight="1">
      <c r="A181" s="5"/>
      <c r="B181" s="5"/>
      <c r="C181" s="5"/>
      <c r="D181" s="11"/>
      <c r="E181" s="11"/>
      <c r="F181" s="11"/>
      <c r="G181" s="5"/>
      <c r="H181" s="5"/>
      <c r="I181" s="5"/>
      <c r="J181" s="1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11"/>
      <c r="AC181" s="11"/>
      <c r="AD181" s="5"/>
      <c r="AE181" s="5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</row>
    <row r="182" spans="1:100" ht="15.75" customHeight="1">
      <c r="A182" s="5"/>
      <c r="B182" s="5"/>
      <c r="C182" s="5"/>
      <c r="D182" s="11"/>
      <c r="E182" s="11"/>
      <c r="F182" s="11"/>
      <c r="G182" s="5"/>
      <c r="H182" s="5"/>
      <c r="I182" s="5"/>
      <c r="J182" s="1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11"/>
      <c r="AC182" s="11"/>
      <c r="AD182" s="5"/>
      <c r="AE182" s="5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</row>
    <row r="183" spans="1:100" ht="15.75" customHeight="1">
      <c r="A183" s="5"/>
      <c r="B183" s="5"/>
      <c r="C183" s="5"/>
      <c r="D183" s="11"/>
      <c r="E183" s="11"/>
      <c r="F183" s="11"/>
      <c r="G183" s="5"/>
      <c r="H183" s="5"/>
      <c r="I183" s="5"/>
      <c r="J183" s="1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11"/>
      <c r="AC183" s="11"/>
      <c r="AD183" s="5"/>
      <c r="AE183" s="5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</row>
    <row r="184" spans="1:100" ht="15.75" customHeight="1">
      <c r="A184" s="5"/>
      <c r="B184" s="5"/>
      <c r="C184" s="5"/>
      <c r="D184" s="11"/>
      <c r="E184" s="11"/>
      <c r="F184" s="11"/>
      <c r="G184" s="5"/>
      <c r="H184" s="5"/>
      <c r="I184" s="5"/>
      <c r="J184" s="1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11"/>
      <c r="AC184" s="11"/>
      <c r="AD184" s="5"/>
      <c r="AE184" s="5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</row>
    <row r="185" spans="1:100" ht="15.75" customHeight="1">
      <c r="A185" s="5"/>
      <c r="B185" s="5"/>
      <c r="C185" s="5"/>
      <c r="D185" s="11"/>
      <c r="E185" s="11"/>
      <c r="F185" s="11"/>
      <c r="G185" s="5"/>
      <c r="H185" s="5"/>
      <c r="I185" s="5"/>
      <c r="J185" s="1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11"/>
      <c r="AC185" s="11"/>
      <c r="AD185" s="5"/>
      <c r="AE185" s="5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</row>
    <row r="186" spans="1:100" ht="15.75" customHeight="1">
      <c r="A186" s="5"/>
      <c r="B186" s="5"/>
      <c r="C186" s="5"/>
      <c r="D186" s="11"/>
      <c r="E186" s="11"/>
      <c r="F186" s="11"/>
      <c r="G186" s="5"/>
      <c r="H186" s="5"/>
      <c r="I186" s="5"/>
      <c r="J186" s="1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11"/>
      <c r="AC186" s="11"/>
      <c r="AD186" s="5"/>
      <c r="AE186" s="5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</row>
    <row r="187" spans="1:100" ht="15.75" customHeight="1">
      <c r="A187" s="5"/>
      <c r="B187" s="5"/>
      <c r="C187" s="5"/>
      <c r="D187" s="11"/>
      <c r="E187" s="11"/>
      <c r="F187" s="11"/>
      <c r="G187" s="5"/>
      <c r="H187" s="5"/>
      <c r="I187" s="5"/>
      <c r="J187" s="1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11"/>
      <c r="AC187" s="11"/>
      <c r="AD187" s="5"/>
      <c r="AE187" s="5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</row>
    <row r="188" spans="1:100" ht="15.75" customHeight="1">
      <c r="A188" s="5"/>
      <c r="B188" s="5"/>
      <c r="C188" s="5"/>
      <c r="D188" s="11"/>
      <c r="E188" s="11"/>
      <c r="F188" s="11"/>
      <c r="G188" s="5"/>
      <c r="H188" s="5"/>
      <c r="I188" s="5"/>
      <c r="J188" s="1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11"/>
      <c r="AC188" s="11"/>
      <c r="AD188" s="5"/>
      <c r="AE188" s="5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</row>
    <row r="189" spans="1:100" ht="15.75" customHeight="1">
      <c r="A189" s="5"/>
      <c r="B189" s="5"/>
      <c r="C189" s="5"/>
      <c r="D189" s="11"/>
      <c r="E189" s="11"/>
      <c r="F189" s="11"/>
      <c r="G189" s="5"/>
      <c r="H189" s="5"/>
      <c r="I189" s="5"/>
      <c r="J189" s="1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11"/>
      <c r="AC189" s="11"/>
      <c r="AD189" s="5"/>
      <c r="AE189" s="5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</row>
    <row r="190" spans="1:100" ht="15.75" customHeight="1">
      <c r="A190" s="5"/>
      <c r="B190" s="5"/>
      <c r="C190" s="5"/>
      <c r="D190" s="11"/>
      <c r="E190" s="11"/>
      <c r="F190" s="11"/>
      <c r="G190" s="5"/>
      <c r="H190" s="5"/>
      <c r="I190" s="5"/>
      <c r="J190" s="1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11"/>
      <c r="AC190" s="11"/>
      <c r="AD190" s="5"/>
      <c r="AE190" s="5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</row>
    <row r="191" spans="1:100" ht="15.75" customHeight="1">
      <c r="A191" s="5"/>
      <c r="B191" s="5"/>
      <c r="C191" s="5"/>
      <c r="D191" s="11"/>
      <c r="E191" s="11"/>
      <c r="F191" s="11"/>
      <c r="G191" s="5"/>
      <c r="H191" s="5"/>
      <c r="I191" s="5"/>
      <c r="J191" s="1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11"/>
      <c r="AC191" s="11"/>
      <c r="AD191" s="5"/>
      <c r="AE191" s="5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</row>
    <row r="192" spans="1:100" ht="15.75" customHeight="1">
      <c r="A192" s="5"/>
      <c r="B192" s="5"/>
      <c r="C192" s="5"/>
      <c r="D192" s="11"/>
      <c r="E192" s="11"/>
      <c r="F192" s="11"/>
      <c r="G192" s="5"/>
      <c r="H192" s="5"/>
      <c r="I192" s="5"/>
      <c r="J192" s="1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11"/>
      <c r="AC192" s="11"/>
      <c r="AD192" s="5"/>
      <c r="AE192" s="5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</row>
    <row r="193" spans="1:100" ht="15.75" customHeight="1">
      <c r="A193" s="5"/>
      <c r="B193" s="5"/>
      <c r="C193" s="5"/>
      <c r="D193" s="11"/>
      <c r="E193" s="11"/>
      <c r="F193" s="11"/>
      <c r="G193" s="5"/>
      <c r="H193" s="5"/>
      <c r="I193" s="5"/>
      <c r="J193" s="1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11"/>
      <c r="AC193" s="11"/>
      <c r="AD193" s="5"/>
      <c r="AE193" s="5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</row>
    <row r="194" spans="1:100" ht="15.75" customHeight="1">
      <c r="A194" s="5"/>
      <c r="B194" s="5"/>
      <c r="C194" s="5"/>
      <c r="D194" s="11"/>
      <c r="E194" s="11"/>
      <c r="F194" s="11"/>
      <c r="G194" s="5"/>
      <c r="H194" s="5"/>
      <c r="I194" s="5"/>
      <c r="J194" s="1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11"/>
      <c r="AC194" s="11"/>
      <c r="AD194" s="5"/>
      <c r="AE194" s="5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</row>
    <row r="195" spans="1:100" ht="15.75" customHeight="1">
      <c r="A195" s="5"/>
      <c r="B195" s="5"/>
      <c r="C195" s="5"/>
      <c r="D195" s="11"/>
      <c r="E195" s="11"/>
      <c r="F195" s="11"/>
      <c r="G195" s="5"/>
      <c r="H195" s="5"/>
      <c r="I195" s="5"/>
      <c r="J195" s="1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11"/>
      <c r="AC195" s="11"/>
      <c r="AD195" s="5"/>
      <c r="AE195" s="5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</row>
    <row r="196" spans="1:100" ht="15.75" customHeight="1">
      <c r="A196" s="5"/>
      <c r="B196" s="5"/>
      <c r="C196" s="5"/>
      <c r="D196" s="11"/>
      <c r="E196" s="11"/>
      <c r="F196" s="11"/>
      <c r="G196" s="5"/>
      <c r="H196" s="5"/>
      <c r="I196" s="5"/>
      <c r="J196" s="1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11"/>
      <c r="AC196" s="11"/>
      <c r="AD196" s="5"/>
      <c r="AE196" s="5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</row>
    <row r="197" spans="1:100" ht="15.75" customHeight="1">
      <c r="A197" s="5"/>
      <c r="B197" s="5"/>
      <c r="C197" s="5"/>
      <c r="D197" s="11"/>
      <c r="E197" s="11"/>
      <c r="F197" s="11"/>
      <c r="G197" s="5"/>
      <c r="H197" s="5"/>
      <c r="I197" s="5"/>
      <c r="J197" s="1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11"/>
      <c r="AC197" s="11"/>
      <c r="AD197" s="5"/>
      <c r="AE197" s="5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</row>
    <row r="198" spans="1:100" ht="15.75" customHeight="1">
      <c r="A198" s="5"/>
      <c r="B198" s="5"/>
      <c r="C198" s="5"/>
      <c r="D198" s="11"/>
      <c r="E198" s="11"/>
      <c r="F198" s="11"/>
      <c r="G198" s="5"/>
      <c r="H198" s="5"/>
      <c r="I198" s="5"/>
      <c r="J198" s="1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11"/>
      <c r="AC198" s="11"/>
      <c r="AD198" s="5"/>
      <c r="AE198" s="5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</row>
    <row r="199" spans="1:100" ht="15.75" customHeight="1">
      <c r="A199" s="5"/>
      <c r="B199" s="5"/>
      <c r="C199" s="5"/>
      <c r="D199" s="11"/>
      <c r="E199" s="11"/>
      <c r="F199" s="11"/>
      <c r="G199" s="5"/>
      <c r="H199" s="5"/>
      <c r="I199" s="5"/>
      <c r="J199" s="1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11"/>
      <c r="AC199" s="11"/>
      <c r="AD199" s="5"/>
      <c r="AE199" s="5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</row>
    <row r="200" spans="1:100" ht="15.75" customHeight="1">
      <c r="A200" s="5"/>
      <c r="B200" s="5"/>
      <c r="C200" s="5"/>
      <c r="D200" s="11"/>
      <c r="E200" s="11"/>
      <c r="F200" s="11"/>
      <c r="G200" s="5"/>
      <c r="H200" s="5"/>
      <c r="I200" s="5"/>
      <c r="J200" s="1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11"/>
      <c r="AC200" s="11"/>
      <c r="AD200" s="5"/>
      <c r="AE200" s="5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</row>
    <row r="201" spans="1:100" ht="15.75" customHeight="1">
      <c r="A201" s="5"/>
      <c r="B201" s="5"/>
      <c r="C201" s="5"/>
      <c r="D201" s="11"/>
      <c r="E201" s="11"/>
      <c r="F201" s="11"/>
      <c r="G201" s="5"/>
      <c r="H201" s="5"/>
      <c r="I201" s="5"/>
      <c r="J201" s="1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11"/>
      <c r="AC201" s="11"/>
      <c r="AD201" s="5"/>
      <c r="AE201" s="5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</row>
    <row r="202" spans="1:100" ht="15.75" customHeight="1">
      <c r="A202" s="5"/>
      <c r="B202" s="5"/>
      <c r="C202" s="5"/>
      <c r="D202" s="11"/>
      <c r="E202" s="11"/>
      <c r="F202" s="11"/>
      <c r="G202" s="5"/>
      <c r="H202" s="5"/>
      <c r="I202" s="5"/>
      <c r="J202" s="1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11"/>
      <c r="AC202" s="11"/>
      <c r="AD202" s="5"/>
      <c r="AE202" s="5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</row>
    <row r="203" spans="1:100" ht="15.75" customHeight="1">
      <c r="A203" s="5"/>
      <c r="B203" s="5"/>
      <c r="C203" s="5"/>
      <c r="D203" s="11"/>
      <c r="E203" s="11"/>
      <c r="F203" s="11"/>
      <c r="G203" s="5"/>
      <c r="H203" s="5"/>
      <c r="I203" s="5"/>
      <c r="J203" s="1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11"/>
      <c r="AC203" s="11"/>
      <c r="AD203" s="5"/>
      <c r="AE203" s="5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</row>
    <row r="204" spans="1:100" ht="15.75" customHeight="1">
      <c r="A204" s="5"/>
      <c r="B204" s="5"/>
      <c r="C204" s="5"/>
      <c r="D204" s="11"/>
      <c r="E204" s="11"/>
      <c r="F204" s="11"/>
      <c r="G204" s="5"/>
      <c r="H204" s="5"/>
      <c r="I204" s="5"/>
      <c r="J204" s="1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11"/>
      <c r="AC204" s="11"/>
      <c r="AD204" s="5"/>
      <c r="AE204" s="5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</row>
    <row r="205" spans="1:100" ht="15.75" customHeight="1">
      <c r="A205" s="5"/>
      <c r="B205" s="5"/>
      <c r="C205" s="5"/>
      <c r="D205" s="11"/>
      <c r="E205" s="11"/>
      <c r="F205" s="11"/>
      <c r="G205" s="5"/>
      <c r="H205" s="5"/>
      <c r="I205" s="5"/>
      <c r="J205" s="1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11"/>
      <c r="AC205" s="11"/>
      <c r="AD205" s="5"/>
      <c r="AE205" s="5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</row>
    <row r="206" spans="1:100" ht="15.75" customHeight="1">
      <c r="A206" s="5"/>
      <c r="B206" s="5"/>
      <c r="C206" s="5"/>
      <c r="D206" s="11"/>
      <c r="E206" s="11"/>
      <c r="F206" s="11"/>
      <c r="G206" s="5"/>
      <c r="H206" s="5"/>
      <c r="I206" s="5"/>
      <c r="J206" s="1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11"/>
      <c r="AC206" s="11"/>
      <c r="AD206" s="5"/>
      <c r="AE206" s="5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</row>
    <row r="207" spans="1:100" ht="15.75" customHeight="1">
      <c r="A207" s="5"/>
      <c r="B207" s="5"/>
      <c r="C207" s="5"/>
      <c r="D207" s="11"/>
      <c r="E207" s="11"/>
      <c r="F207" s="11"/>
      <c r="G207" s="5"/>
      <c r="H207" s="5"/>
      <c r="I207" s="5"/>
      <c r="J207" s="1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11"/>
      <c r="AC207" s="11"/>
      <c r="AD207" s="5"/>
      <c r="AE207" s="5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</row>
    <row r="208" spans="1:100" ht="15.75" customHeight="1">
      <c r="A208" s="5"/>
      <c r="B208" s="5"/>
      <c r="C208" s="5"/>
      <c r="D208" s="11"/>
      <c r="E208" s="11"/>
      <c r="F208" s="11"/>
      <c r="G208" s="5"/>
      <c r="H208" s="5"/>
      <c r="I208" s="5"/>
      <c r="J208" s="1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11"/>
      <c r="AC208" s="11"/>
      <c r="AD208" s="5"/>
      <c r="AE208" s="5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</row>
    <row r="209" spans="1:100" ht="15.75" customHeight="1">
      <c r="A209" s="5"/>
      <c r="B209" s="5"/>
      <c r="C209" s="5"/>
      <c r="D209" s="11"/>
      <c r="E209" s="11"/>
      <c r="F209" s="11"/>
      <c r="G209" s="5"/>
      <c r="H209" s="5"/>
      <c r="I209" s="5"/>
      <c r="J209" s="1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11"/>
      <c r="AC209" s="11"/>
      <c r="AD209" s="5"/>
      <c r="AE209" s="5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</row>
    <row r="210" spans="1:100" ht="15.75" customHeight="1">
      <c r="A210" s="5"/>
      <c r="B210" s="5"/>
      <c r="C210" s="5"/>
      <c r="D210" s="11"/>
      <c r="E210" s="11"/>
      <c r="F210" s="11"/>
      <c r="G210" s="5"/>
      <c r="H210" s="5"/>
      <c r="I210" s="5"/>
      <c r="J210" s="1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11"/>
      <c r="AC210" s="11"/>
      <c r="AD210" s="5"/>
      <c r="AE210" s="5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</row>
    <row r="211" spans="1:100" ht="15.75" customHeight="1">
      <c r="A211" s="5"/>
      <c r="B211" s="5"/>
      <c r="C211" s="5"/>
      <c r="D211" s="11"/>
      <c r="E211" s="11"/>
      <c r="F211" s="11"/>
      <c r="G211" s="5"/>
      <c r="H211" s="5"/>
      <c r="I211" s="5"/>
      <c r="J211" s="1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11"/>
      <c r="AC211" s="11"/>
      <c r="AD211" s="5"/>
      <c r="AE211" s="5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</row>
    <row r="212" spans="1:100" ht="15.75" customHeight="1">
      <c r="A212" s="5"/>
      <c r="B212" s="5"/>
      <c r="C212" s="5"/>
      <c r="D212" s="11"/>
      <c r="E212" s="11"/>
      <c r="F212" s="11"/>
      <c r="G212" s="5"/>
      <c r="H212" s="5"/>
      <c r="I212" s="5"/>
      <c r="J212" s="1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11"/>
      <c r="AC212" s="11"/>
      <c r="AD212" s="5"/>
      <c r="AE212" s="5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</row>
    <row r="213" spans="1:100" ht="15.75" customHeight="1">
      <c r="A213" s="5"/>
      <c r="B213" s="5"/>
      <c r="C213" s="5"/>
      <c r="D213" s="11"/>
      <c r="E213" s="11"/>
      <c r="F213" s="11"/>
      <c r="G213" s="5"/>
      <c r="H213" s="5"/>
      <c r="I213" s="5"/>
      <c r="J213" s="1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11"/>
      <c r="AC213" s="11"/>
      <c r="AD213" s="5"/>
      <c r="AE213" s="5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</row>
    <row r="214" spans="1:100" ht="15.75" customHeight="1">
      <c r="A214" s="5"/>
      <c r="B214" s="5"/>
      <c r="C214" s="5"/>
      <c r="D214" s="11"/>
      <c r="E214" s="11"/>
      <c r="F214" s="11"/>
      <c r="G214" s="5"/>
      <c r="H214" s="5"/>
      <c r="I214" s="5"/>
      <c r="J214" s="1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11"/>
      <c r="AC214" s="11"/>
      <c r="AD214" s="5"/>
      <c r="AE214" s="5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</row>
    <row r="215" spans="1:100" ht="15.75" customHeight="1">
      <c r="A215" s="5"/>
      <c r="B215" s="5"/>
      <c r="C215" s="5"/>
      <c r="D215" s="11"/>
      <c r="E215" s="11"/>
      <c r="F215" s="11"/>
      <c r="G215" s="5"/>
      <c r="H215" s="5"/>
      <c r="I215" s="5"/>
      <c r="J215" s="1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11"/>
      <c r="AC215" s="11"/>
      <c r="AD215" s="5"/>
      <c r="AE215" s="5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</row>
    <row r="216" spans="1:100" ht="15.75" customHeight="1">
      <c r="A216" s="5"/>
      <c r="B216" s="5"/>
      <c r="C216" s="5"/>
      <c r="D216" s="11"/>
      <c r="E216" s="11"/>
      <c r="F216" s="11"/>
      <c r="G216" s="5"/>
      <c r="H216" s="5"/>
      <c r="I216" s="5"/>
      <c r="J216" s="1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11"/>
      <c r="AC216" s="11"/>
      <c r="AD216" s="5"/>
      <c r="AE216" s="5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</row>
    <row r="217" spans="1:100" ht="15.75" customHeight="1">
      <c r="A217" s="5"/>
      <c r="B217" s="5"/>
      <c r="C217" s="5"/>
      <c r="D217" s="11"/>
      <c r="E217" s="11"/>
      <c r="F217" s="11"/>
      <c r="G217" s="5"/>
      <c r="H217" s="5"/>
      <c r="I217" s="5"/>
      <c r="J217" s="1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11"/>
      <c r="AC217" s="11"/>
      <c r="AD217" s="5"/>
      <c r="AE217" s="5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</row>
    <row r="218" spans="1:100" ht="15.75" customHeight="1">
      <c r="A218" s="5"/>
      <c r="B218" s="5"/>
      <c r="C218" s="5"/>
      <c r="D218" s="11"/>
      <c r="E218" s="11"/>
      <c r="F218" s="11"/>
      <c r="G218" s="5"/>
      <c r="H218" s="5"/>
      <c r="I218" s="5"/>
      <c r="J218" s="1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11"/>
      <c r="AC218" s="11"/>
      <c r="AD218" s="5"/>
      <c r="AE218" s="5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</row>
    <row r="219" spans="1:100" ht="15.75" customHeight="1">
      <c r="A219" s="5"/>
      <c r="B219" s="5"/>
      <c r="C219" s="5"/>
      <c r="D219" s="11"/>
      <c r="E219" s="11"/>
      <c r="F219" s="11"/>
      <c r="G219" s="5"/>
      <c r="H219" s="5"/>
      <c r="I219" s="5"/>
      <c r="J219" s="1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11"/>
      <c r="AC219" s="11"/>
      <c r="AD219" s="5"/>
      <c r="AE219" s="5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</row>
    <row r="220" spans="1:100" ht="15.75" customHeight="1">
      <c r="A220" s="5"/>
      <c r="B220" s="5"/>
      <c r="C220" s="5"/>
      <c r="D220" s="11"/>
      <c r="E220" s="11"/>
      <c r="F220" s="11"/>
      <c r="G220" s="5"/>
      <c r="H220" s="5"/>
      <c r="I220" s="5"/>
      <c r="J220" s="1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11"/>
      <c r="AC220" s="11"/>
      <c r="AD220" s="5"/>
      <c r="AE220" s="5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</row>
    <row r="221" spans="1:100" ht="15.75" customHeight="1">
      <c r="A221" s="5"/>
      <c r="B221" s="5"/>
      <c r="C221" s="5"/>
      <c r="D221" s="11"/>
      <c r="E221" s="11"/>
      <c r="F221" s="11"/>
      <c r="G221" s="5"/>
      <c r="H221" s="5"/>
      <c r="I221" s="5"/>
      <c r="J221" s="1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11"/>
      <c r="AC221" s="11"/>
      <c r="AD221" s="5"/>
      <c r="AE221" s="5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</row>
    <row r="222" spans="1:100" ht="15.75" customHeight="1">
      <c r="A222" s="5"/>
      <c r="B222" s="5"/>
      <c r="C222" s="5"/>
      <c r="D222" s="11"/>
      <c r="E222" s="11"/>
      <c r="F222" s="11"/>
      <c r="G222" s="5"/>
      <c r="H222" s="5"/>
      <c r="I222" s="5"/>
      <c r="J222" s="1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11"/>
      <c r="AC222" s="11"/>
      <c r="AD222" s="5"/>
      <c r="AE222" s="5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</row>
    <row r="223" spans="1:100" ht="15.75" customHeight="1">
      <c r="A223" s="5"/>
      <c r="B223" s="5"/>
      <c r="C223" s="5"/>
      <c r="D223" s="11"/>
      <c r="E223" s="11"/>
      <c r="F223" s="11"/>
      <c r="G223" s="5"/>
      <c r="H223" s="5"/>
      <c r="I223" s="5"/>
      <c r="J223" s="1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11"/>
      <c r="AC223" s="11"/>
      <c r="AD223" s="5"/>
      <c r="AE223" s="5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</row>
    <row r="224" spans="1:100" ht="15.75" customHeight="1">
      <c r="A224" s="5"/>
      <c r="B224" s="5"/>
      <c r="C224" s="5"/>
      <c r="D224" s="11"/>
      <c r="E224" s="11"/>
      <c r="F224" s="11"/>
      <c r="G224" s="5"/>
      <c r="H224" s="5"/>
      <c r="I224" s="5"/>
      <c r="J224" s="1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11"/>
      <c r="AC224" s="11"/>
      <c r="AD224" s="5"/>
      <c r="AE224" s="5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</row>
    <row r="225" spans="1:100" ht="15.75" customHeight="1">
      <c r="A225" s="5"/>
      <c r="B225" s="5"/>
      <c r="C225" s="5"/>
      <c r="D225" s="11"/>
      <c r="E225" s="11"/>
      <c r="F225" s="11"/>
      <c r="G225" s="5"/>
      <c r="H225" s="5"/>
      <c r="I225" s="5"/>
      <c r="J225" s="1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11"/>
      <c r="AC225" s="11"/>
      <c r="AD225" s="5"/>
      <c r="AE225" s="5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</row>
    <row r="226" spans="1:100" ht="15.75" customHeight="1">
      <c r="A226" s="5"/>
      <c r="B226" s="5"/>
      <c r="C226" s="5"/>
      <c r="D226" s="11"/>
      <c r="E226" s="11"/>
      <c r="F226" s="11"/>
      <c r="G226" s="5"/>
      <c r="H226" s="5"/>
      <c r="I226" s="5"/>
      <c r="J226" s="1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11"/>
      <c r="AC226" s="11"/>
      <c r="AD226" s="5"/>
      <c r="AE226" s="5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</row>
    <row r="227" spans="1:100" ht="15.75" customHeight="1">
      <c r="A227" s="5"/>
      <c r="B227" s="5"/>
      <c r="C227" s="5"/>
      <c r="D227" s="11"/>
      <c r="E227" s="11"/>
      <c r="F227" s="11"/>
      <c r="G227" s="5"/>
      <c r="H227" s="5"/>
      <c r="I227" s="5"/>
      <c r="J227" s="1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11"/>
      <c r="AC227" s="11"/>
      <c r="AD227" s="5"/>
      <c r="AE227" s="5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</row>
    <row r="228" spans="1:100" ht="15.75" customHeight="1">
      <c r="A228" s="5"/>
      <c r="B228" s="5"/>
      <c r="C228" s="5"/>
      <c r="D228" s="11"/>
      <c r="E228" s="11"/>
      <c r="F228" s="11"/>
      <c r="G228" s="5"/>
      <c r="H228" s="5"/>
      <c r="I228" s="5"/>
      <c r="J228" s="1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11"/>
      <c r="AC228" s="11"/>
      <c r="AD228" s="5"/>
      <c r="AE228" s="5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</row>
    <row r="229" spans="1:100" ht="15.75" customHeight="1">
      <c r="A229" s="5"/>
      <c r="B229" s="5"/>
      <c r="C229" s="5"/>
      <c r="D229" s="11"/>
      <c r="E229" s="11"/>
      <c r="F229" s="11"/>
      <c r="G229" s="5"/>
      <c r="H229" s="5"/>
      <c r="I229" s="5"/>
      <c r="J229" s="1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11"/>
      <c r="AC229" s="11"/>
      <c r="AD229" s="5"/>
      <c r="AE229" s="5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</row>
    <row r="230" spans="1:100" ht="15.75" customHeight="1">
      <c r="A230" s="5"/>
      <c r="B230" s="5"/>
      <c r="C230" s="5"/>
      <c r="D230" s="11"/>
      <c r="E230" s="11"/>
      <c r="F230" s="11"/>
      <c r="G230" s="5"/>
      <c r="H230" s="5"/>
      <c r="I230" s="5"/>
      <c r="J230" s="1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11"/>
      <c r="AC230" s="11"/>
      <c r="AD230" s="5"/>
      <c r="AE230" s="5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</row>
    <row r="231" spans="1:100" ht="15.75" customHeight="1">
      <c r="A231" s="5"/>
      <c r="B231" s="5"/>
      <c r="C231" s="5"/>
      <c r="D231" s="11"/>
      <c r="E231" s="11"/>
      <c r="F231" s="11"/>
      <c r="G231" s="5"/>
      <c r="H231" s="5"/>
      <c r="I231" s="5"/>
      <c r="J231" s="1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11"/>
      <c r="AC231" s="11"/>
      <c r="AD231" s="5"/>
      <c r="AE231" s="5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</row>
    <row r="232" spans="1:100" ht="15.75" customHeight="1">
      <c r="A232" s="5"/>
      <c r="B232" s="5"/>
      <c r="C232" s="5"/>
      <c r="D232" s="11"/>
      <c r="E232" s="11"/>
      <c r="F232" s="11"/>
      <c r="G232" s="5"/>
      <c r="H232" s="5"/>
      <c r="I232" s="5"/>
      <c r="J232" s="1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11"/>
      <c r="AC232" s="11"/>
      <c r="AD232" s="5"/>
      <c r="AE232" s="5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</row>
    <row r="233" spans="1:100" ht="15.75" customHeight="1">
      <c r="A233" s="5"/>
      <c r="B233" s="5"/>
      <c r="C233" s="5"/>
      <c r="D233" s="11"/>
      <c r="E233" s="11"/>
      <c r="F233" s="11"/>
      <c r="G233" s="5"/>
      <c r="H233" s="5"/>
      <c r="I233" s="5"/>
      <c r="J233" s="1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11"/>
      <c r="AC233" s="11"/>
      <c r="AD233" s="5"/>
      <c r="AE233" s="5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</row>
    <row r="234" spans="1:100" ht="15.75" customHeight="1">
      <c r="A234" s="5"/>
      <c r="B234" s="5"/>
      <c r="C234" s="5"/>
      <c r="D234" s="11"/>
      <c r="E234" s="11"/>
      <c r="F234" s="11"/>
      <c r="G234" s="5"/>
      <c r="H234" s="5"/>
      <c r="I234" s="5"/>
      <c r="J234" s="1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11"/>
      <c r="AC234" s="11"/>
      <c r="AD234" s="5"/>
      <c r="AE234" s="5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</row>
    <row r="235" spans="1:100" ht="15.75" customHeight="1">
      <c r="A235" s="5"/>
      <c r="B235" s="5"/>
      <c r="C235" s="5"/>
      <c r="D235" s="11"/>
      <c r="E235" s="11"/>
      <c r="F235" s="11"/>
      <c r="G235" s="5"/>
      <c r="H235" s="5"/>
      <c r="I235" s="5"/>
      <c r="J235" s="1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11"/>
      <c r="AC235" s="11"/>
      <c r="AD235" s="5"/>
      <c r="AE235" s="5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</row>
    <row r="236" spans="1:100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</row>
    <row r="237" spans="1:100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</row>
    <row r="238" spans="1:100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</row>
    <row r="239" spans="1:100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</row>
    <row r="240" spans="1:10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</row>
    <row r="241" spans="1:100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</row>
    <row r="242" spans="1:100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</row>
    <row r="243" spans="1:100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</row>
    <row r="244" spans="1:100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</row>
    <row r="245" spans="1:100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</row>
    <row r="246" spans="1:100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</row>
    <row r="247" spans="1:100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</row>
    <row r="248" spans="1:100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</row>
    <row r="249" spans="1:100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</row>
    <row r="250" spans="1:10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</row>
    <row r="251" spans="1:100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</row>
    <row r="252" spans="1:100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</row>
    <row r="253" spans="1:100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</row>
    <row r="254" spans="1:100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</row>
    <row r="255" spans="1:100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</row>
    <row r="256" spans="1:100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</row>
    <row r="257" spans="1:100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</row>
    <row r="258" spans="1:100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</row>
    <row r="259" spans="1:100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</row>
    <row r="260" spans="1:10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</row>
    <row r="261" spans="1:100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</row>
    <row r="262" spans="1:100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</row>
    <row r="263" spans="1:100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</row>
    <row r="264" spans="1:100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</row>
    <row r="265" spans="1:100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</row>
    <row r="266" spans="1:100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</row>
    <row r="267" spans="1:100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</row>
    <row r="268" spans="1:100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</row>
    <row r="269" spans="1:100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</row>
    <row r="270" spans="1:10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</row>
    <row r="271" spans="1:100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</row>
    <row r="272" spans="1:100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</row>
    <row r="273" spans="1:100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</row>
    <row r="274" spans="1:100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</row>
    <row r="275" spans="1:100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</row>
    <row r="276" spans="1:100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</row>
    <row r="277" spans="1:100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</row>
    <row r="278" spans="1:100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</row>
    <row r="279" spans="1:100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</row>
    <row r="280" spans="1:10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</row>
    <row r="281" spans="1:100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</row>
    <row r="282" spans="1:100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</row>
    <row r="283" spans="1:100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</row>
    <row r="284" spans="1:100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</row>
    <row r="285" spans="1:100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</row>
    <row r="286" spans="1:100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</row>
    <row r="287" spans="1:100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</row>
    <row r="288" spans="1:100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</row>
    <row r="289" spans="1:100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</row>
    <row r="290" spans="1:10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</row>
    <row r="291" spans="1:100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</row>
    <row r="292" spans="1:100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</row>
    <row r="293" spans="1:100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</row>
    <row r="294" spans="1:100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</row>
    <row r="295" spans="1:100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</row>
    <row r="296" spans="1:100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</row>
    <row r="297" spans="1:100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</row>
    <row r="298" spans="1:100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</row>
    <row r="299" spans="1:100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</row>
    <row r="300" spans="1:1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</row>
    <row r="301" spans="1:100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</row>
    <row r="302" spans="1:100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</row>
    <row r="303" spans="1:100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</row>
    <row r="304" spans="1:100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</row>
    <row r="305" spans="1:100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</row>
    <row r="306" spans="1:100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</row>
    <row r="307" spans="1:100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</row>
    <row r="308" spans="1:100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</row>
    <row r="309" spans="1:100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</row>
    <row r="310" spans="1:10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</row>
    <row r="311" spans="1:100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</row>
    <row r="312" spans="1:100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</row>
    <row r="313" spans="1:100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</row>
    <row r="314" spans="1:100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</row>
    <row r="315" spans="1:100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</row>
    <row r="316" spans="1:100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</row>
    <row r="317" spans="1:100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</row>
    <row r="318" spans="1:100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</row>
    <row r="319" spans="1:100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</row>
    <row r="320" spans="1:10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</row>
    <row r="321" spans="1:100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</row>
    <row r="322" spans="1:100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</row>
    <row r="323" spans="1:100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</row>
    <row r="324" spans="1:100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</row>
    <row r="325" spans="1:100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</row>
    <row r="326" spans="1:100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</row>
    <row r="327" spans="1:100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</row>
    <row r="328" spans="1:100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</row>
    <row r="329" spans="1:100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</row>
    <row r="330" spans="1:10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</row>
    <row r="331" spans="1:100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</row>
    <row r="332" spans="1:100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</row>
    <row r="333" spans="1:100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</row>
    <row r="334" spans="1:100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</row>
    <row r="335" spans="1:100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</row>
    <row r="336" spans="1:100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</row>
    <row r="337" spans="1:100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</row>
    <row r="338" spans="1:100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</row>
    <row r="339" spans="1:100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</row>
    <row r="340" spans="1:10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</row>
    <row r="341" spans="1:100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</row>
    <row r="342" spans="1:100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</row>
    <row r="343" spans="1:100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</row>
    <row r="344" spans="1:100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</row>
    <row r="345" spans="1:100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</row>
    <row r="346" spans="1:100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</row>
    <row r="347" spans="1:100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</row>
    <row r="348" spans="1:100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</row>
    <row r="349" spans="1:100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</row>
    <row r="350" spans="1:10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</row>
    <row r="351" spans="1:100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</row>
    <row r="352" spans="1:100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</row>
    <row r="353" spans="1:100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</row>
    <row r="354" spans="1:100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</row>
    <row r="355" spans="1:100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</row>
    <row r="356" spans="1:100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</row>
    <row r="357" spans="1:100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</row>
    <row r="358" spans="1:100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</row>
    <row r="359" spans="1:100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</row>
    <row r="360" spans="1:10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</row>
    <row r="361" spans="1:100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</row>
    <row r="362" spans="1:100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</row>
    <row r="363" spans="1:100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</row>
    <row r="364" spans="1:100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</row>
    <row r="365" spans="1:100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</row>
    <row r="366" spans="1:100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</row>
    <row r="367" spans="1:100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</row>
    <row r="368" spans="1:100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</row>
    <row r="369" spans="1:100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</row>
    <row r="370" spans="1:10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</row>
    <row r="371" spans="1:100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</row>
    <row r="372" spans="1:100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</row>
    <row r="373" spans="1:100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</row>
    <row r="374" spans="1:100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</row>
    <row r="375" spans="1:100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</row>
    <row r="376" spans="1:100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</row>
    <row r="377" spans="1:100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</row>
    <row r="378" spans="1:100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</row>
    <row r="379" spans="1:100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</row>
    <row r="380" spans="1:10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</row>
    <row r="381" spans="1:100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</row>
    <row r="382" spans="1:100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</row>
    <row r="383" spans="1:100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</row>
    <row r="384" spans="1:100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</row>
    <row r="385" spans="1:100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</row>
    <row r="386" spans="1:100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</row>
    <row r="387" spans="1:100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</row>
    <row r="388" spans="1:100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</row>
    <row r="389" spans="1:100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</row>
    <row r="390" spans="1:10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</row>
    <row r="391" spans="1:100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</row>
    <row r="392" spans="1:100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</row>
    <row r="393" spans="1:100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</row>
    <row r="394" spans="1:100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</row>
    <row r="395" spans="1:100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</row>
    <row r="396" spans="1:100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</row>
    <row r="397" spans="1:100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</row>
    <row r="398" spans="1:100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</row>
    <row r="399" spans="1:100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</row>
    <row r="400" spans="1:1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</row>
    <row r="401" spans="1:100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</row>
    <row r="402" spans="1:100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</row>
    <row r="403" spans="1:100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</row>
    <row r="404" spans="1:100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</row>
    <row r="405" spans="1:100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</row>
    <row r="406" spans="1:100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</row>
    <row r="407" spans="1:100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</row>
    <row r="408" spans="1:100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</row>
    <row r="409" spans="1:100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</row>
    <row r="410" spans="1:10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</row>
    <row r="411" spans="1:100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</row>
    <row r="412" spans="1:100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</row>
    <row r="413" spans="1:100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</row>
    <row r="414" spans="1:100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</row>
    <row r="415" spans="1:100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</row>
    <row r="416" spans="1:100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</row>
    <row r="417" spans="1:100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</row>
    <row r="418" spans="1:100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</row>
    <row r="419" spans="1:100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</row>
    <row r="420" spans="1:10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</row>
    <row r="421" spans="1:100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</row>
    <row r="422" spans="1:100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</row>
    <row r="423" spans="1:100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</row>
    <row r="424" spans="1:100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</row>
    <row r="425" spans="1:100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</row>
    <row r="426" spans="1:100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</row>
    <row r="427" spans="1:100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</row>
    <row r="428" spans="1:100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</row>
    <row r="429" spans="1:100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</row>
    <row r="430" spans="1:10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</row>
    <row r="431" spans="1:100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</row>
    <row r="432" spans="1:100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</row>
    <row r="433" spans="1:100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</row>
    <row r="434" spans="1:100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</row>
    <row r="435" spans="1:100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</row>
    <row r="436" spans="1:100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</row>
    <row r="437" spans="1:100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</row>
    <row r="438" spans="1:100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</row>
    <row r="439" spans="1:100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</row>
    <row r="440" spans="1:10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</row>
    <row r="441" spans="1:100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</row>
    <row r="442" spans="1:100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</row>
    <row r="443" spans="1:100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</row>
    <row r="444" spans="1:100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</row>
    <row r="445" spans="1:100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</row>
    <row r="446" spans="1:100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</row>
    <row r="447" spans="1:100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</row>
    <row r="448" spans="1:100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</row>
    <row r="449" spans="1:100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</row>
    <row r="450" spans="1:10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</row>
    <row r="451" spans="1:100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</row>
    <row r="452" spans="1:100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</row>
    <row r="453" spans="1:100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</row>
    <row r="454" spans="1:100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</row>
    <row r="455" spans="1:100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</row>
    <row r="456" spans="1:100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</row>
    <row r="457" spans="1:100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</row>
    <row r="458" spans="1:100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</row>
    <row r="459" spans="1:100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</row>
    <row r="460" spans="1:10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</row>
    <row r="461" spans="1:100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</row>
    <row r="462" spans="1:100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</row>
    <row r="463" spans="1:100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</row>
    <row r="464" spans="1:100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</row>
    <row r="465" spans="1:100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</row>
    <row r="466" spans="1:100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</row>
    <row r="467" spans="1:100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</row>
    <row r="468" spans="1:100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</row>
    <row r="469" spans="1:100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</row>
    <row r="470" spans="1:10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</row>
    <row r="471" spans="1:100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</row>
    <row r="472" spans="1:100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</row>
    <row r="473" spans="1:100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</row>
    <row r="474" spans="1:100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</row>
    <row r="475" spans="1:100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</row>
    <row r="476" spans="1:100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</row>
    <row r="477" spans="1:100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</row>
    <row r="478" spans="1:100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</row>
    <row r="479" spans="1:100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</row>
    <row r="480" spans="1:10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</row>
    <row r="481" spans="1:100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</row>
    <row r="482" spans="1:100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</row>
    <row r="483" spans="1:100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</row>
    <row r="484" spans="1:100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</row>
    <row r="485" spans="1:100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</row>
    <row r="486" spans="1:100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</row>
    <row r="487" spans="1:100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</row>
    <row r="488" spans="1:100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</row>
    <row r="489" spans="1:100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</row>
    <row r="490" spans="1:10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</row>
    <row r="491" spans="1:100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</row>
    <row r="492" spans="1:100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</row>
    <row r="493" spans="1:100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</row>
    <row r="494" spans="1:100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</row>
    <row r="495" spans="1:100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</row>
    <row r="496" spans="1:100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</row>
    <row r="497" spans="1:100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</row>
    <row r="498" spans="1:100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</row>
    <row r="499" spans="1:100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</row>
    <row r="500" spans="1:1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</row>
    <row r="501" spans="1:100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</row>
    <row r="502" spans="1:100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</row>
    <row r="503" spans="1:100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</row>
    <row r="504" spans="1:100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</row>
    <row r="505" spans="1:100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</row>
    <row r="506" spans="1:100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</row>
    <row r="507" spans="1:100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</row>
    <row r="508" spans="1:100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</row>
    <row r="509" spans="1:100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</row>
    <row r="510" spans="1:10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</row>
    <row r="511" spans="1:100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</row>
    <row r="512" spans="1:100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</row>
    <row r="513" spans="1:100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</row>
    <row r="514" spans="1:100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</row>
    <row r="515" spans="1:100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</row>
    <row r="516" spans="1:100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</row>
    <row r="517" spans="1:100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</row>
    <row r="518" spans="1:100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</row>
    <row r="519" spans="1:100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</row>
    <row r="520" spans="1:10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</row>
    <row r="521" spans="1:100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</row>
    <row r="522" spans="1:100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</row>
    <row r="523" spans="1:100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</row>
    <row r="524" spans="1:100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</row>
    <row r="525" spans="1:100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</row>
    <row r="526" spans="1:100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</row>
    <row r="527" spans="1:100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</row>
    <row r="528" spans="1:100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</row>
    <row r="529" spans="1:100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</row>
    <row r="530" spans="1:10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</row>
    <row r="531" spans="1:100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</row>
    <row r="532" spans="1:100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</row>
    <row r="533" spans="1:100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</row>
    <row r="534" spans="1:100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</row>
    <row r="535" spans="1:100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</row>
    <row r="536" spans="1:100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</row>
    <row r="537" spans="1:100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</row>
    <row r="538" spans="1:100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</row>
    <row r="539" spans="1:100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</row>
    <row r="540" spans="1:10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</row>
    <row r="541" spans="1:100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</row>
    <row r="542" spans="1:100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</row>
    <row r="543" spans="1:100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</row>
    <row r="544" spans="1:100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</row>
    <row r="545" spans="1:100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</row>
    <row r="546" spans="1:100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</row>
    <row r="547" spans="1:100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</row>
    <row r="548" spans="1:100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</row>
    <row r="549" spans="1:100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</row>
    <row r="550" spans="1:10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</row>
    <row r="551" spans="1:100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</row>
    <row r="552" spans="1:100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</row>
    <row r="553" spans="1:100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</row>
    <row r="554" spans="1:100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</row>
    <row r="555" spans="1:100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</row>
    <row r="556" spans="1:100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</row>
    <row r="557" spans="1:100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</row>
    <row r="558" spans="1:100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</row>
    <row r="559" spans="1:100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</row>
    <row r="560" spans="1:10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</row>
    <row r="561" spans="1:100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</row>
    <row r="562" spans="1:100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</row>
    <row r="563" spans="1:100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</row>
    <row r="564" spans="1:100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</row>
    <row r="565" spans="1:100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</row>
    <row r="566" spans="1:100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</row>
    <row r="567" spans="1:100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</row>
    <row r="568" spans="1:100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</row>
    <row r="569" spans="1:100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</row>
    <row r="570" spans="1:10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</row>
    <row r="571" spans="1:100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</row>
    <row r="572" spans="1:100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</row>
    <row r="573" spans="1:100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</row>
    <row r="574" spans="1:100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</row>
    <row r="575" spans="1:100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</row>
    <row r="576" spans="1:100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</row>
    <row r="577" spans="1:100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</row>
    <row r="578" spans="1:100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</row>
    <row r="579" spans="1:100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</row>
    <row r="580" spans="1:10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</row>
    <row r="581" spans="1:100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</row>
    <row r="582" spans="1:100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</row>
    <row r="583" spans="1:100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</row>
    <row r="584" spans="1:100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</row>
    <row r="585" spans="1:100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</row>
    <row r="586" spans="1:100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</row>
    <row r="587" spans="1:100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</row>
    <row r="588" spans="1:100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</row>
    <row r="589" spans="1:100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</row>
    <row r="590" spans="1:10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</row>
    <row r="591" spans="1:100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</row>
    <row r="592" spans="1:100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</row>
    <row r="593" spans="1:100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</row>
    <row r="594" spans="1:100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</row>
    <row r="595" spans="1:100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</row>
    <row r="596" spans="1:100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</row>
    <row r="597" spans="1:100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</row>
    <row r="598" spans="1:100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</row>
    <row r="599" spans="1:100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</row>
    <row r="600" spans="1:1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</row>
    <row r="601" spans="1:100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</row>
    <row r="602" spans="1:100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</row>
    <row r="603" spans="1:100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</row>
    <row r="604" spans="1:100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</row>
    <row r="605" spans="1:100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</row>
    <row r="606" spans="1:100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</row>
    <row r="607" spans="1:100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</row>
    <row r="608" spans="1:100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</row>
    <row r="609" spans="1:100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</row>
    <row r="610" spans="1:10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</row>
    <row r="611" spans="1:100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</row>
    <row r="612" spans="1:100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</row>
    <row r="613" spans="1:100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</row>
    <row r="614" spans="1:100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</row>
    <row r="615" spans="1:100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</row>
    <row r="616" spans="1:100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</row>
    <row r="617" spans="1:100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</row>
    <row r="618" spans="1:100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</row>
    <row r="619" spans="1:100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</row>
    <row r="620" spans="1:10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</row>
    <row r="621" spans="1:100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</row>
    <row r="622" spans="1:100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</row>
    <row r="623" spans="1:100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</row>
    <row r="624" spans="1:100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</row>
    <row r="625" spans="1:100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</row>
    <row r="626" spans="1:100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</row>
    <row r="627" spans="1:100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</row>
    <row r="628" spans="1:100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</row>
    <row r="629" spans="1:100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</row>
    <row r="630" spans="1:10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</row>
    <row r="631" spans="1:100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</row>
    <row r="632" spans="1:100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</row>
    <row r="633" spans="1:100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</row>
    <row r="634" spans="1:100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</row>
    <row r="635" spans="1:100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</row>
    <row r="636" spans="1:100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</row>
    <row r="637" spans="1:100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</row>
    <row r="638" spans="1:100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</row>
    <row r="639" spans="1:100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</row>
    <row r="640" spans="1:10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</row>
    <row r="641" spans="1:100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</row>
    <row r="642" spans="1:100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</row>
    <row r="643" spans="1:100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</row>
    <row r="644" spans="1:100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</row>
    <row r="645" spans="1:100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</row>
    <row r="646" spans="1:100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</row>
    <row r="647" spans="1:100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</row>
    <row r="648" spans="1:100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</row>
    <row r="649" spans="1:100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</row>
    <row r="650" spans="1:10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</row>
    <row r="651" spans="1:100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</row>
    <row r="652" spans="1:100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</row>
    <row r="653" spans="1:100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</row>
    <row r="654" spans="1:100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</row>
    <row r="655" spans="1:100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</row>
    <row r="656" spans="1:100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</row>
    <row r="657" spans="1:100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</row>
    <row r="658" spans="1:100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</row>
    <row r="659" spans="1:100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</row>
    <row r="660" spans="1:10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</row>
    <row r="661" spans="1:100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</row>
    <row r="662" spans="1:100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</row>
    <row r="663" spans="1:100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</row>
    <row r="664" spans="1:100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</row>
    <row r="665" spans="1:100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</row>
    <row r="666" spans="1:100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</row>
    <row r="667" spans="1:100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</row>
    <row r="668" spans="1:100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</row>
    <row r="669" spans="1:100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</row>
    <row r="670" spans="1:10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</row>
    <row r="671" spans="1:100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</row>
    <row r="672" spans="1:100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</row>
    <row r="673" spans="1:100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</row>
    <row r="674" spans="1:100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</row>
    <row r="675" spans="1:100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</row>
    <row r="676" spans="1:100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</row>
    <row r="677" spans="1:100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</row>
    <row r="678" spans="1:100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</row>
    <row r="679" spans="1:100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</row>
    <row r="680" spans="1:10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</row>
    <row r="681" spans="1:100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</row>
    <row r="682" spans="1:100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</row>
    <row r="683" spans="1:100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</row>
    <row r="684" spans="1:100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</row>
    <row r="685" spans="1:100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</row>
    <row r="686" spans="1:100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</row>
    <row r="687" spans="1:100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</row>
    <row r="688" spans="1:100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</row>
    <row r="689" spans="1:100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</row>
    <row r="690" spans="1:10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</row>
    <row r="691" spans="1:100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</row>
    <row r="692" spans="1:100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</row>
    <row r="693" spans="1:100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</row>
    <row r="694" spans="1:100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</row>
    <row r="695" spans="1:100" ht="15.75" customHeight="1">
      <c r="D695" s="1"/>
      <c r="E695" s="1"/>
      <c r="F695" s="1"/>
      <c r="J695" s="1"/>
      <c r="K695" s="2"/>
      <c r="AB695" s="1"/>
      <c r="AC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spans="1:100" ht="15.75" customHeight="1">
      <c r="D696" s="1"/>
      <c r="E696" s="1"/>
      <c r="F696" s="1"/>
      <c r="J696" s="1"/>
      <c r="K696" s="2"/>
      <c r="AB696" s="1"/>
      <c r="AC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spans="1:100" ht="15.75" customHeight="1">
      <c r="D697" s="1"/>
      <c r="E697" s="1"/>
      <c r="F697" s="1"/>
      <c r="J697" s="1"/>
      <c r="K697" s="2"/>
      <c r="AB697" s="1"/>
      <c r="AC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spans="1:100" ht="15.75" customHeight="1">
      <c r="D698" s="1"/>
      <c r="E698" s="1"/>
      <c r="F698" s="1"/>
      <c r="J698" s="1"/>
      <c r="K698" s="2"/>
      <c r="AB698" s="1"/>
      <c r="AC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spans="1:100" ht="15.75" customHeight="1">
      <c r="D699" s="1"/>
      <c r="E699" s="1"/>
      <c r="F699" s="1"/>
      <c r="J699" s="1"/>
      <c r="K699" s="2"/>
      <c r="AB699" s="1"/>
      <c r="AC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spans="1:100" ht="15.75" customHeight="1">
      <c r="D700" s="1"/>
      <c r="E700" s="1"/>
      <c r="F700" s="1"/>
      <c r="J700" s="1"/>
      <c r="K700" s="2"/>
      <c r="AB700" s="1"/>
      <c r="AC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spans="1:100" ht="15.75" customHeight="1">
      <c r="D701" s="1"/>
      <c r="E701" s="1"/>
      <c r="F701" s="1"/>
      <c r="J701" s="1"/>
      <c r="K701" s="2"/>
      <c r="AB701" s="1"/>
      <c r="AC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spans="1:100" ht="15.75" customHeight="1">
      <c r="D702" s="1"/>
      <c r="E702" s="1"/>
      <c r="F702" s="1"/>
      <c r="J702" s="1"/>
      <c r="K702" s="2"/>
      <c r="AB702" s="1"/>
      <c r="AC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spans="1:100" ht="15.75" customHeight="1">
      <c r="D703" s="1"/>
      <c r="E703" s="1"/>
      <c r="F703" s="1"/>
      <c r="J703" s="1"/>
      <c r="K703" s="2"/>
      <c r="AB703" s="1"/>
      <c r="AC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spans="1:100" ht="15.75" customHeight="1">
      <c r="D704" s="1"/>
      <c r="E704" s="1"/>
      <c r="F704" s="1"/>
      <c r="J704" s="1"/>
      <c r="K704" s="2"/>
      <c r="AB704" s="1"/>
      <c r="AC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spans="4:48" ht="15.75" customHeight="1">
      <c r="D705" s="1"/>
      <c r="E705" s="1"/>
      <c r="F705" s="1"/>
      <c r="J705" s="1"/>
      <c r="K705" s="2"/>
      <c r="AB705" s="1"/>
      <c r="AC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spans="4:48" ht="15.75" customHeight="1">
      <c r="D706" s="1"/>
      <c r="E706" s="1"/>
      <c r="F706" s="1"/>
      <c r="J706" s="1"/>
      <c r="K706" s="2"/>
      <c r="AB706" s="1"/>
      <c r="AC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spans="4:48" ht="15.75" customHeight="1">
      <c r="D707" s="1"/>
      <c r="E707" s="1"/>
      <c r="F707" s="1"/>
      <c r="J707" s="1"/>
      <c r="K707" s="2"/>
      <c r="AB707" s="1"/>
      <c r="AC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spans="4:48" ht="15.75" customHeight="1">
      <c r="D708" s="1"/>
      <c r="E708" s="1"/>
      <c r="F708" s="1"/>
      <c r="J708" s="1"/>
      <c r="K708" s="2"/>
      <c r="AB708" s="1"/>
      <c r="AC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spans="4:48" ht="15.75" customHeight="1">
      <c r="D709" s="1"/>
      <c r="E709" s="1"/>
      <c r="F709" s="1"/>
      <c r="J709" s="1"/>
      <c r="K709" s="2"/>
      <c r="AB709" s="1"/>
      <c r="AC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spans="4:48" ht="15.75" customHeight="1">
      <c r="D710" s="1"/>
      <c r="E710" s="1"/>
      <c r="F710" s="1"/>
      <c r="J710" s="1"/>
      <c r="K710" s="2"/>
      <c r="AB710" s="1"/>
      <c r="AC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spans="4:48" ht="15.75" customHeight="1">
      <c r="D711" s="1"/>
      <c r="E711" s="1"/>
      <c r="F711" s="1"/>
      <c r="J711" s="1"/>
      <c r="K711" s="2"/>
      <c r="AB711" s="1"/>
      <c r="AC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spans="4:48" ht="15.75" customHeight="1">
      <c r="D712" s="1"/>
      <c r="E712" s="1"/>
      <c r="F712" s="1"/>
      <c r="J712" s="1"/>
      <c r="K712" s="2"/>
      <c r="AB712" s="1"/>
      <c r="AC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spans="4:48" ht="15.75" customHeight="1">
      <c r="D713" s="1"/>
      <c r="E713" s="1"/>
      <c r="F713" s="1"/>
      <c r="J713" s="1"/>
      <c r="K713" s="2"/>
      <c r="AB713" s="1"/>
      <c r="AC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spans="4:48" ht="15.75" customHeight="1">
      <c r="D714" s="1"/>
      <c r="E714" s="1"/>
      <c r="F714" s="1"/>
      <c r="J714" s="1"/>
      <c r="K714" s="2"/>
      <c r="AB714" s="1"/>
      <c r="AC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spans="4:48" ht="15.75" customHeight="1">
      <c r="D715" s="1"/>
      <c r="E715" s="1"/>
      <c r="F715" s="1"/>
      <c r="J715" s="1"/>
      <c r="K715" s="2"/>
      <c r="AB715" s="1"/>
      <c r="AC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spans="4:48" ht="15.75" customHeight="1">
      <c r="D716" s="1"/>
      <c r="E716" s="1"/>
      <c r="F716" s="1"/>
      <c r="J716" s="1"/>
      <c r="K716" s="2"/>
      <c r="AB716" s="1"/>
      <c r="AC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spans="4:48" ht="15.75" customHeight="1">
      <c r="D717" s="1"/>
      <c r="E717" s="1"/>
      <c r="F717" s="1"/>
      <c r="J717" s="1"/>
      <c r="K717" s="2"/>
      <c r="AB717" s="1"/>
      <c r="AC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spans="4:48" ht="15.75" customHeight="1">
      <c r="D718" s="1"/>
      <c r="E718" s="1"/>
      <c r="F718" s="1"/>
      <c r="J718" s="1"/>
      <c r="K718" s="2"/>
      <c r="AB718" s="1"/>
      <c r="AC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spans="4:48" ht="15.75" customHeight="1">
      <c r="D719" s="1"/>
      <c r="E719" s="1"/>
      <c r="F719" s="1"/>
      <c r="J719" s="1"/>
      <c r="K719" s="2"/>
      <c r="AB719" s="1"/>
      <c r="AC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spans="4:48" ht="15.75" customHeight="1">
      <c r="D720" s="1"/>
      <c r="E720" s="1"/>
      <c r="F720" s="1"/>
      <c r="J720" s="1"/>
      <c r="K720" s="2"/>
      <c r="AB720" s="1"/>
      <c r="AC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spans="4:48" ht="15.75" customHeight="1">
      <c r="D721" s="1"/>
      <c r="E721" s="1"/>
      <c r="F721" s="1"/>
      <c r="J721" s="1"/>
      <c r="K721" s="2"/>
      <c r="AB721" s="1"/>
      <c r="AC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spans="4:48" ht="15.75" customHeight="1">
      <c r="D722" s="1"/>
      <c r="E722" s="1"/>
      <c r="F722" s="1"/>
      <c r="J722" s="1"/>
      <c r="K722" s="2"/>
      <c r="AB722" s="1"/>
      <c r="AC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spans="4:48" ht="15.75" customHeight="1">
      <c r="D723" s="1"/>
      <c r="E723" s="1"/>
      <c r="F723" s="1"/>
      <c r="J723" s="1"/>
      <c r="K723" s="2"/>
      <c r="AB723" s="1"/>
      <c r="AC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spans="4:48" ht="15.75" customHeight="1">
      <c r="D724" s="1"/>
      <c r="E724" s="1"/>
      <c r="F724" s="1"/>
      <c r="J724" s="1"/>
      <c r="K724" s="2"/>
      <c r="AB724" s="1"/>
      <c r="AC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spans="4:48" ht="15.75" customHeight="1">
      <c r="D725" s="1"/>
      <c r="E725" s="1"/>
      <c r="F725" s="1"/>
      <c r="J725" s="1"/>
      <c r="K725" s="2"/>
      <c r="AB725" s="1"/>
      <c r="AC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spans="4:48" ht="15.75" customHeight="1">
      <c r="D726" s="1"/>
      <c r="E726" s="1"/>
      <c r="F726" s="1"/>
      <c r="J726" s="1"/>
      <c r="K726" s="2"/>
      <c r="AB726" s="1"/>
      <c r="AC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spans="4:48" ht="15.75" customHeight="1">
      <c r="D727" s="1"/>
      <c r="E727" s="1"/>
      <c r="F727" s="1"/>
      <c r="J727" s="1"/>
      <c r="K727" s="2"/>
      <c r="AB727" s="1"/>
      <c r="AC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spans="4:48" ht="15.75" customHeight="1">
      <c r="D728" s="1"/>
      <c r="E728" s="1"/>
      <c r="F728" s="1"/>
      <c r="J728" s="1"/>
      <c r="K728" s="2"/>
      <c r="AB728" s="1"/>
      <c r="AC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spans="4:48" ht="15.75" customHeight="1">
      <c r="D729" s="1"/>
      <c r="E729" s="1"/>
      <c r="F729" s="1"/>
      <c r="J729" s="1"/>
      <c r="K729" s="2"/>
      <c r="AB729" s="1"/>
      <c r="AC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spans="4:48" ht="15.75" customHeight="1">
      <c r="D730" s="1"/>
      <c r="E730" s="1"/>
      <c r="F730" s="1"/>
      <c r="J730" s="1"/>
      <c r="K730" s="2"/>
      <c r="AB730" s="1"/>
      <c r="AC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spans="4:48" ht="15.75" customHeight="1">
      <c r="D731" s="1"/>
      <c r="E731" s="1"/>
      <c r="F731" s="1"/>
      <c r="J731" s="1"/>
      <c r="K731" s="2"/>
      <c r="AB731" s="1"/>
      <c r="AC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spans="4:48" ht="15.75" customHeight="1">
      <c r="D732" s="1"/>
      <c r="E732" s="1"/>
      <c r="F732" s="1"/>
      <c r="J732" s="1"/>
      <c r="K732" s="2"/>
      <c r="AB732" s="1"/>
      <c r="AC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spans="4:48" ht="15.75" customHeight="1">
      <c r="D733" s="1"/>
      <c r="E733" s="1"/>
      <c r="F733" s="1"/>
      <c r="J733" s="1"/>
      <c r="K733" s="2"/>
      <c r="AB733" s="1"/>
      <c r="AC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spans="4:48" ht="15.75" customHeight="1">
      <c r="D734" s="1"/>
      <c r="E734" s="1"/>
      <c r="F734" s="1"/>
      <c r="J734" s="1"/>
      <c r="K734" s="2"/>
      <c r="AB734" s="1"/>
      <c r="AC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spans="4:48" ht="15.75" customHeight="1">
      <c r="D735" s="1"/>
      <c r="E735" s="1"/>
      <c r="F735" s="1"/>
      <c r="J735" s="1"/>
      <c r="K735" s="2"/>
      <c r="AB735" s="1"/>
      <c r="AC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spans="4:48" ht="15.75" customHeight="1">
      <c r="D736" s="1"/>
      <c r="E736" s="1"/>
      <c r="F736" s="1"/>
      <c r="J736" s="1"/>
      <c r="K736" s="2"/>
      <c r="AB736" s="1"/>
      <c r="AC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spans="4:48" ht="15.75" customHeight="1">
      <c r="D737" s="1"/>
      <c r="E737" s="1"/>
      <c r="F737" s="1"/>
      <c r="J737" s="1"/>
      <c r="K737" s="2"/>
      <c r="AB737" s="1"/>
      <c r="AC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spans="4:48" ht="15.75" customHeight="1">
      <c r="D738" s="1"/>
      <c r="E738" s="1"/>
      <c r="F738" s="1"/>
      <c r="J738" s="1"/>
      <c r="K738" s="2"/>
      <c r="AB738" s="1"/>
      <c r="AC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spans="4:48" ht="15.75" customHeight="1">
      <c r="D739" s="1"/>
      <c r="E739" s="1"/>
      <c r="F739" s="1"/>
      <c r="J739" s="1"/>
      <c r="K739" s="2"/>
      <c r="AB739" s="1"/>
      <c r="AC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spans="4:48" ht="15.75" customHeight="1">
      <c r="D740" s="1"/>
      <c r="E740" s="1"/>
      <c r="F740" s="1"/>
      <c r="J740" s="1"/>
      <c r="K740" s="2"/>
      <c r="AB740" s="1"/>
      <c r="AC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spans="4:48" ht="15.75" customHeight="1">
      <c r="D741" s="1"/>
      <c r="E741" s="1"/>
      <c r="F741" s="1"/>
      <c r="J741" s="1"/>
      <c r="K741" s="2"/>
      <c r="AB741" s="1"/>
      <c r="AC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spans="4:48" ht="15.75" customHeight="1">
      <c r="D742" s="1"/>
      <c r="E742" s="1"/>
      <c r="F742" s="1"/>
      <c r="J742" s="1"/>
      <c r="K742" s="2"/>
      <c r="AB742" s="1"/>
      <c r="AC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spans="4:48" ht="15.75" customHeight="1">
      <c r="D743" s="1"/>
      <c r="E743" s="1"/>
      <c r="F743" s="1"/>
      <c r="J743" s="1"/>
      <c r="K743" s="2"/>
      <c r="AB743" s="1"/>
      <c r="AC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spans="4:48" ht="15.75" customHeight="1">
      <c r="D744" s="1"/>
      <c r="E744" s="1"/>
      <c r="F744" s="1"/>
      <c r="J744" s="1"/>
      <c r="K744" s="2"/>
      <c r="AB744" s="1"/>
      <c r="AC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spans="4:48" ht="15.75" customHeight="1">
      <c r="D745" s="1"/>
      <c r="E745" s="1"/>
      <c r="F745" s="1"/>
      <c r="J745" s="1"/>
      <c r="K745" s="2"/>
      <c r="AB745" s="1"/>
      <c r="AC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spans="4:48" ht="15.75" customHeight="1">
      <c r="D746" s="1"/>
      <c r="E746" s="1"/>
      <c r="F746" s="1"/>
      <c r="J746" s="1"/>
      <c r="K746" s="2"/>
      <c r="AB746" s="1"/>
      <c r="AC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spans="4:48" ht="15.75" customHeight="1">
      <c r="D747" s="1"/>
      <c r="E747" s="1"/>
      <c r="F747" s="1"/>
      <c r="J747" s="1"/>
      <c r="K747" s="2"/>
      <c r="AB747" s="1"/>
      <c r="AC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4:48" ht="15.75" customHeight="1">
      <c r="D748" s="1"/>
      <c r="E748" s="1"/>
      <c r="F748" s="1"/>
      <c r="J748" s="1"/>
      <c r="K748" s="2"/>
      <c r="AB748" s="1"/>
      <c r="AC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spans="4:48" ht="15.75" customHeight="1">
      <c r="D749" s="1"/>
      <c r="E749" s="1"/>
      <c r="F749" s="1"/>
      <c r="J749" s="1"/>
      <c r="K749" s="2"/>
      <c r="AB749" s="1"/>
      <c r="AC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spans="4:48" ht="15.75" customHeight="1">
      <c r="D750" s="1"/>
      <c r="E750" s="1"/>
      <c r="F750" s="1"/>
      <c r="J750" s="1"/>
      <c r="K750" s="2"/>
      <c r="AB750" s="1"/>
      <c r="AC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spans="4:48" ht="15.75" customHeight="1">
      <c r="D751" s="1"/>
      <c r="E751" s="1"/>
      <c r="F751" s="1"/>
      <c r="J751" s="1"/>
      <c r="K751" s="2"/>
      <c r="AB751" s="1"/>
      <c r="AC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spans="4:48" ht="15.75" customHeight="1">
      <c r="D752" s="1"/>
      <c r="E752" s="1"/>
      <c r="F752" s="1"/>
      <c r="J752" s="1"/>
      <c r="K752" s="2"/>
      <c r="AB752" s="1"/>
      <c r="AC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spans="4:48" ht="15.75" customHeight="1">
      <c r="D753" s="1"/>
      <c r="E753" s="1"/>
      <c r="F753" s="1"/>
      <c r="J753" s="1"/>
      <c r="K753" s="2"/>
      <c r="AB753" s="1"/>
      <c r="AC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spans="4:48" ht="15.75" customHeight="1">
      <c r="D754" s="1"/>
      <c r="E754" s="1"/>
      <c r="F754" s="1"/>
      <c r="J754" s="1"/>
      <c r="K754" s="2"/>
      <c r="AB754" s="1"/>
      <c r="AC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spans="4:48" ht="15.75" customHeight="1">
      <c r="D755" s="1"/>
      <c r="E755" s="1"/>
      <c r="F755" s="1"/>
      <c r="J755" s="1"/>
      <c r="K755" s="2"/>
      <c r="AB755" s="1"/>
      <c r="AC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spans="4:48" ht="15.75" customHeight="1">
      <c r="D756" s="1"/>
      <c r="E756" s="1"/>
      <c r="F756" s="1"/>
      <c r="J756" s="1"/>
      <c r="K756" s="2"/>
      <c r="AB756" s="1"/>
      <c r="AC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spans="4:48" ht="15.75" customHeight="1">
      <c r="D757" s="1"/>
      <c r="E757" s="1"/>
      <c r="F757" s="1"/>
      <c r="J757" s="1"/>
      <c r="K757" s="2"/>
      <c r="AB757" s="1"/>
      <c r="AC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spans="4:48" ht="15.75" customHeight="1">
      <c r="D758" s="1"/>
      <c r="E758" s="1"/>
      <c r="F758" s="1"/>
      <c r="J758" s="1"/>
      <c r="K758" s="2"/>
      <c r="AB758" s="1"/>
      <c r="AC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spans="4:48" ht="15.75" customHeight="1">
      <c r="D759" s="1"/>
      <c r="E759" s="1"/>
      <c r="F759" s="1"/>
      <c r="J759" s="1"/>
      <c r="K759" s="2"/>
      <c r="AB759" s="1"/>
      <c r="AC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spans="4:48" ht="15.75" customHeight="1">
      <c r="D760" s="1"/>
      <c r="E760" s="1"/>
      <c r="F760" s="1"/>
      <c r="J760" s="1"/>
      <c r="K760" s="2"/>
      <c r="AB760" s="1"/>
      <c r="AC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spans="4:48" ht="15.75" customHeight="1">
      <c r="D761" s="1"/>
      <c r="E761" s="1"/>
      <c r="F761" s="1"/>
      <c r="J761" s="1"/>
      <c r="K761" s="2"/>
      <c r="AB761" s="1"/>
      <c r="AC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spans="4:48" ht="15.75" customHeight="1">
      <c r="D762" s="1"/>
      <c r="E762" s="1"/>
      <c r="F762" s="1"/>
      <c r="J762" s="1"/>
      <c r="K762" s="2"/>
      <c r="AB762" s="1"/>
      <c r="AC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spans="4:48" ht="15.75" customHeight="1">
      <c r="D763" s="1"/>
      <c r="E763" s="1"/>
      <c r="F763" s="1"/>
      <c r="J763" s="1"/>
      <c r="K763" s="2"/>
      <c r="AB763" s="1"/>
      <c r="AC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spans="4:48" ht="15.75" customHeight="1">
      <c r="D764" s="1"/>
      <c r="E764" s="1"/>
      <c r="F764" s="1"/>
      <c r="J764" s="1"/>
      <c r="K764" s="2"/>
      <c r="AB764" s="1"/>
      <c r="AC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spans="4:48" ht="15.75" customHeight="1">
      <c r="D765" s="1"/>
      <c r="E765" s="1"/>
      <c r="F765" s="1"/>
      <c r="J765" s="1"/>
      <c r="K765" s="2"/>
      <c r="AB765" s="1"/>
      <c r="AC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spans="4:48" ht="15.75" customHeight="1">
      <c r="D766" s="1"/>
      <c r="E766" s="1"/>
      <c r="F766" s="1"/>
      <c r="J766" s="1"/>
      <c r="K766" s="2"/>
      <c r="AB766" s="1"/>
      <c r="AC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spans="4:48" ht="15.75" customHeight="1">
      <c r="D767" s="1"/>
      <c r="E767" s="1"/>
      <c r="F767" s="1"/>
      <c r="J767" s="1"/>
      <c r="K767" s="2"/>
      <c r="AB767" s="1"/>
      <c r="AC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spans="4:48" ht="15.75" customHeight="1">
      <c r="D768" s="1"/>
      <c r="E768" s="1"/>
      <c r="F768" s="1"/>
      <c r="J768" s="1"/>
      <c r="K768" s="2"/>
      <c r="AB768" s="1"/>
      <c r="AC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spans="4:48" ht="15.75" customHeight="1">
      <c r="D769" s="1"/>
      <c r="E769" s="1"/>
      <c r="F769" s="1"/>
      <c r="J769" s="1"/>
      <c r="K769" s="2"/>
      <c r="AB769" s="1"/>
      <c r="AC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spans="4:48" ht="15.75" customHeight="1">
      <c r="D770" s="1"/>
      <c r="E770" s="1"/>
      <c r="F770" s="1"/>
      <c r="J770" s="1"/>
      <c r="K770" s="2"/>
      <c r="AB770" s="1"/>
      <c r="AC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spans="4:48" ht="15.75" customHeight="1">
      <c r="D771" s="1"/>
      <c r="E771" s="1"/>
      <c r="F771" s="1"/>
      <c r="J771" s="1"/>
      <c r="K771" s="2"/>
      <c r="AB771" s="1"/>
      <c r="AC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spans="4:48" ht="15.75" customHeight="1">
      <c r="D772" s="1"/>
      <c r="E772" s="1"/>
      <c r="F772" s="1"/>
      <c r="J772" s="1"/>
      <c r="K772" s="2"/>
      <c r="AB772" s="1"/>
      <c r="AC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spans="4:48" ht="15.75" customHeight="1">
      <c r="D773" s="1"/>
      <c r="E773" s="1"/>
      <c r="F773" s="1"/>
      <c r="J773" s="1"/>
      <c r="K773" s="2"/>
      <c r="AB773" s="1"/>
      <c r="AC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spans="4:48" ht="15.75" customHeight="1">
      <c r="D774" s="1"/>
      <c r="E774" s="1"/>
      <c r="F774" s="1"/>
      <c r="J774" s="1"/>
      <c r="K774" s="2"/>
      <c r="AB774" s="1"/>
      <c r="AC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spans="4:48" ht="15.75" customHeight="1">
      <c r="D775" s="1"/>
      <c r="E775" s="1"/>
      <c r="F775" s="1"/>
      <c r="J775" s="1"/>
      <c r="K775" s="2"/>
      <c r="AB775" s="1"/>
      <c r="AC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spans="4:48" ht="15.75" customHeight="1">
      <c r="D776" s="1"/>
      <c r="E776" s="1"/>
      <c r="F776" s="1"/>
      <c r="J776" s="1"/>
      <c r="K776" s="2"/>
      <c r="AB776" s="1"/>
      <c r="AC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spans="4:48" ht="15.75" customHeight="1">
      <c r="D777" s="1"/>
      <c r="E777" s="1"/>
      <c r="F777" s="1"/>
      <c r="J777" s="1"/>
      <c r="K777" s="2"/>
      <c r="AB777" s="1"/>
      <c r="AC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spans="4:48" ht="15.75" customHeight="1">
      <c r="D778" s="1"/>
      <c r="E778" s="1"/>
      <c r="F778" s="1"/>
      <c r="J778" s="1"/>
      <c r="K778" s="2"/>
      <c r="AB778" s="1"/>
      <c r="AC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spans="4:48" ht="15.75" customHeight="1">
      <c r="D779" s="1"/>
      <c r="E779" s="1"/>
      <c r="F779" s="1"/>
      <c r="J779" s="1"/>
      <c r="K779" s="2"/>
      <c r="AB779" s="1"/>
      <c r="AC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spans="4:48" ht="15.75" customHeight="1">
      <c r="D780" s="1"/>
      <c r="E780" s="1"/>
      <c r="F780" s="1"/>
      <c r="J780" s="1"/>
      <c r="K780" s="2"/>
      <c r="AB780" s="1"/>
      <c r="AC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spans="4:48" ht="15.75" customHeight="1">
      <c r="D781" s="1"/>
      <c r="E781" s="1"/>
      <c r="F781" s="1"/>
      <c r="J781" s="1"/>
      <c r="K781" s="2"/>
      <c r="AB781" s="1"/>
      <c r="AC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spans="4:48" ht="15.75" customHeight="1">
      <c r="D782" s="1"/>
      <c r="E782" s="1"/>
      <c r="F782" s="1"/>
      <c r="J782" s="1"/>
      <c r="K782" s="2"/>
      <c r="AB782" s="1"/>
      <c r="AC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spans="4:48" ht="15.75" customHeight="1">
      <c r="D783" s="1"/>
      <c r="E783" s="1"/>
      <c r="F783" s="1"/>
      <c r="J783" s="1"/>
      <c r="K783" s="2"/>
      <c r="AB783" s="1"/>
      <c r="AC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spans="4:48" ht="15.75" customHeight="1">
      <c r="D784" s="1"/>
      <c r="E784" s="1"/>
      <c r="F784" s="1"/>
      <c r="J784" s="1"/>
      <c r="K784" s="2"/>
      <c r="AB784" s="1"/>
      <c r="AC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spans="4:48" ht="15.75" customHeight="1">
      <c r="D785" s="1"/>
      <c r="E785" s="1"/>
      <c r="F785" s="1"/>
      <c r="J785" s="1"/>
      <c r="K785" s="2"/>
      <c r="AB785" s="1"/>
      <c r="AC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spans="4:48" ht="15.75" customHeight="1">
      <c r="D786" s="1"/>
      <c r="E786" s="1"/>
      <c r="F786" s="1"/>
      <c r="J786" s="1"/>
      <c r="K786" s="2"/>
      <c r="AB786" s="1"/>
      <c r="AC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spans="4:48" ht="15.75" customHeight="1">
      <c r="D787" s="1"/>
      <c r="E787" s="1"/>
      <c r="F787" s="1"/>
      <c r="J787" s="1"/>
      <c r="K787" s="2"/>
      <c r="AB787" s="1"/>
      <c r="AC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spans="4:48" ht="15.75" customHeight="1">
      <c r="D788" s="1"/>
      <c r="E788" s="1"/>
      <c r="F788" s="1"/>
      <c r="J788" s="1"/>
      <c r="K788" s="2"/>
      <c r="AB788" s="1"/>
      <c r="AC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spans="4:48" ht="15.75" customHeight="1">
      <c r="D789" s="1"/>
      <c r="E789" s="1"/>
      <c r="F789" s="1"/>
      <c r="J789" s="1"/>
      <c r="K789" s="2"/>
      <c r="AB789" s="1"/>
      <c r="AC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spans="4:48" ht="15.75" customHeight="1">
      <c r="D790" s="1"/>
      <c r="E790" s="1"/>
      <c r="F790" s="1"/>
      <c r="J790" s="1"/>
      <c r="K790" s="2"/>
      <c r="AB790" s="1"/>
      <c r="AC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spans="4:48" ht="15.75" customHeight="1">
      <c r="D791" s="1"/>
      <c r="E791" s="1"/>
      <c r="F791" s="1"/>
      <c r="J791" s="1"/>
      <c r="K791" s="2"/>
      <c r="AB791" s="1"/>
      <c r="AC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spans="4:48" ht="15.75" customHeight="1">
      <c r="D792" s="1"/>
      <c r="E792" s="1"/>
      <c r="F792" s="1"/>
      <c r="J792" s="1"/>
      <c r="K792" s="2"/>
      <c r="AB792" s="1"/>
      <c r="AC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spans="4:48" ht="15.75" customHeight="1">
      <c r="D793" s="1"/>
      <c r="E793" s="1"/>
      <c r="F793" s="1"/>
      <c r="J793" s="1"/>
      <c r="K793" s="2"/>
      <c r="AB793" s="1"/>
      <c r="AC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spans="4:48" ht="15.75" customHeight="1">
      <c r="D794" s="1"/>
      <c r="E794" s="1"/>
      <c r="F794" s="1"/>
      <c r="J794" s="1"/>
      <c r="K794" s="2"/>
      <c r="AB794" s="1"/>
      <c r="AC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spans="4:48" ht="15.75" customHeight="1">
      <c r="D795" s="1"/>
      <c r="E795" s="1"/>
      <c r="F795" s="1"/>
      <c r="J795" s="1"/>
      <c r="K795" s="2"/>
      <c r="AB795" s="1"/>
      <c r="AC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spans="4:48" ht="15.75" customHeight="1">
      <c r="D796" s="1"/>
      <c r="E796" s="1"/>
      <c r="F796" s="1"/>
      <c r="J796" s="1"/>
      <c r="K796" s="2"/>
      <c r="AB796" s="1"/>
      <c r="AC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spans="4:48" ht="15.75" customHeight="1">
      <c r="D797" s="1"/>
      <c r="E797" s="1"/>
      <c r="F797" s="1"/>
      <c r="J797" s="1"/>
      <c r="K797" s="2"/>
      <c r="AB797" s="1"/>
      <c r="AC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spans="4:48" ht="15.75" customHeight="1">
      <c r="D798" s="1"/>
      <c r="E798" s="1"/>
      <c r="F798" s="1"/>
      <c r="J798" s="1"/>
      <c r="K798" s="2"/>
      <c r="AB798" s="1"/>
      <c r="AC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spans="4:48" ht="15.75" customHeight="1">
      <c r="D799" s="1"/>
      <c r="E799" s="1"/>
      <c r="F799" s="1"/>
      <c r="J799" s="1"/>
      <c r="K799" s="2"/>
      <c r="AB799" s="1"/>
      <c r="AC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spans="4:48" ht="15.75" customHeight="1">
      <c r="D800" s="1"/>
      <c r="E800" s="1"/>
      <c r="F800" s="1"/>
      <c r="J800" s="1"/>
      <c r="K800" s="2"/>
      <c r="AB800" s="1"/>
      <c r="AC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spans="4:48" ht="15.75" customHeight="1">
      <c r="D801" s="1"/>
      <c r="E801" s="1"/>
      <c r="F801" s="1"/>
      <c r="J801" s="1"/>
      <c r="K801" s="2"/>
      <c r="AB801" s="1"/>
      <c r="AC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spans="4:48" ht="15.75" customHeight="1">
      <c r="D802" s="1"/>
      <c r="E802" s="1"/>
      <c r="F802" s="1"/>
      <c r="J802" s="1"/>
      <c r="K802" s="2"/>
      <c r="AB802" s="1"/>
      <c r="AC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spans="4:48" ht="15.75" customHeight="1">
      <c r="D803" s="1"/>
      <c r="E803" s="1"/>
      <c r="F803" s="1"/>
      <c r="J803" s="1"/>
      <c r="K803" s="2"/>
      <c r="AB803" s="1"/>
      <c r="AC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spans="4:48" ht="15.75" customHeight="1">
      <c r="D804" s="1"/>
      <c r="E804" s="1"/>
      <c r="F804" s="1"/>
      <c r="J804" s="1"/>
      <c r="K804" s="2"/>
      <c r="AB804" s="1"/>
      <c r="AC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spans="4:48" ht="15.75" customHeight="1">
      <c r="D805" s="1"/>
      <c r="E805" s="1"/>
      <c r="F805" s="1"/>
      <c r="J805" s="1"/>
      <c r="K805" s="2"/>
      <c r="AB805" s="1"/>
      <c r="AC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spans="4:48" ht="15.75" customHeight="1">
      <c r="D806" s="1"/>
      <c r="E806" s="1"/>
      <c r="F806" s="1"/>
      <c r="J806" s="1"/>
      <c r="K806" s="2"/>
      <c r="AB806" s="1"/>
      <c r="AC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spans="4:48" ht="15.75" customHeight="1">
      <c r="D807" s="1"/>
      <c r="E807" s="1"/>
      <c r="F807" s="1"/>
      <c r="J807" s="1"/>
      <c r="K807" s="2"/>
      <c r="AB807" s="1"/>
      <c r="AC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spans="4:48" ht="15.75" customHeight="1">
      <c r="D808" s="1"/>
      <c r="E808" s="1"/>
      <c r="F808" s="1"/>
      <c r="J808" s="1"/>
      <c r="K808" s="2"/>
      <c r="AB808" s="1"/>
      <c r="AC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spans="4:48" ht="15.75" customHeight="1">
      <c r="D809" s="1"/>
      <c r="E809" s="1"/>
      <c r="F809" s="1"/>
      <c r="J809" s="1"/>
      <c r="K809" s="2"/>
      <c r="AB809" s="1"/>
      <c r="AC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spans="4:48" ht="15.75" customHeight="1">
      <c r="D810" s="1"/>
      <c r="E810" s="1"/>
      <c r="F810" s="1"/>
      <c r="J810" s="1"/>
      <c r="K810" s="2"/>
      <c r="AB810" s="1"/>
      <c r="AC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spans="4:48" ht="15.75" customHeight="1">
      <c r="D811" s="1"/>
      <c r="E811" s="1"/>
      <c r="F811" s="1"/>
      <c r="J811" s="1"/>
      <c r="K811" s="2"/>
      <c r="AB811" s="1"/>
      <c r="AC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spans="4:48" ht="15.75" customHeight="1">
      <c r="D812" s="1"/>
      <c r="E812" s="1"/>
      <c r="F812" s="1"/>
      <c r="J812" s="1"/>
      <c r="K812" s="2"/>
      <c r="AB812" s="1"/>
      <c r="AC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spans="4:48" ht="15.75" customHeight="1">
      <c r="D813" s="1"/>
      <c r="E813" s="1"/>
      <c r="F813" s="1"/>
      <c r="J813" s="1"/>
      <c r="K813" s="2"/>
      <c r="AB813" s="1"/>
      <c r="AC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spans="4:48" ht="15.75" customHeight="1">
      <c r="D814" s="1"/>
      <c r="E814" s="1"/>
      <c r="F814" s="1"/>
      <c r="J814" s="1"/>
      <c r="K814" s="2"/>
      <c r="AB814" s="1"/>
      <c r="AC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spans="4:48" ht="15.75" customHeight="1">
      <c r="D815" s="1"/>
      <c r="E815" s="1"/>
      <c r="F815" s="1"/>
      <c r="J815" s="1"/>
      <c r="K815" s="2"/>
      <c r="AB815" s="1"/>
      <c r="AC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spans="4:48" ht="15.75" customHeight="1">
      <c r="D816" s="1"/>
      <c r="E816" s="1"/>
      <c r="F816" s="1"/>
      <c r="J816" s="1"/>
      <c r="K816" s="2"/>
      <c r="AB816" s="1"/>
      <c r="AC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spans="4:48" ht="15.75" customHeight="1">
      <c r="D817" s="1"/>
      <c r="E817" s="1"/>
      <c r="F817" s="1"/>
      <c r="J817" s="1"/>
      <c r="K817" s="2"/>
      <c r="AB817" s="1"/>
      <c r="AC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spans="4:48" ht="15.75" customHeight="1">
      <c r="D818" s="1"/>
      <c r="E818" s="1"/>
      <c r="F818" s="1"/>
      <c r="J818" s="1"/>
      <c r="K818" s="2"/>
      <c r="AB818" s="1"/>
      <c r="AC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spans="4:48" ht="15.75" customHeight="1">
      <c r="D819" s="1"/>
      <c r="E819" s="1"/>
      <c r="F819" s="1"/>
      <c r="J819" s="1"/>
      <c r="K819" s="2"/>
      <c r="AB819" s="1"/>
      <c r="AC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spans="4:48" ht="15.75" customHeight="1">
      <c r="D820" s="1"/>
      <c r="E820" s="1"/>
      <c r="F820" s="1"/>
      <c r="J820" s="1"/>
      <c r="K820" s="2"/>
      <c r="AB820" s="1"/>
      <c r="AC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spans="4:48" ht="15.75" customHeight="1">
      <c r="D821" s="1"/>
      <c r="E821" s="1"/>
      <c r="F821" s="1"/>
      <c r="J821" s="1"/>
      <c r="K821" s="2"/>
      <c r="AB821" s="1"/>
      <c r="AC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spans="4:48" ht="15.75" customHeight="1">
      <c r="D822" s="1"/>
      <c r="E822" s="1"/>
      <c r="F822" s="1"/>
      <c r="J822" s="1"/>
      <c r="K822" s="2"/>
      <c r="AB822" s="1"/>
      <c r="AC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spans="4:48" ht="15.75" customHeight="1">
      <c r="D823" s="1"/>
      <c r="E823" s="1"/>
      <c r="F823" s="1"/>
      <c r="J823" s="1"/>
      <c r="K823" s="2"/>
      <c r="AB823" s="1"/>
      <c r="AC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spans="4:48" ht="15.75" customHeight="1">
      <c r="D824" s="1"/>
      <c r="E824" s="1"/>
      <c r="F824" s="1"/>
      <c r="J824" s="1"/>
      <c r="K824" s="2"/>
      <c r="AB824" s="1"/>
      <c r="AC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spans="4:48" ht="15.75" customHeight="1">
      <c r="D825" s="1"/>
      <c r="E825" s="1"/>
      <c r="F825" s="1"/>
      <c r="J825" s="1"/>
      <c r="K825" s="2"/>
      <c r="AB825" s="1"/>
      <c r="AC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spans="4:48" ht="15.75" customHeight="1">
      <c r="D826" s="1"/>
      <c r="E826" s="1"/>
      <c r="F826" s="1"/>
      <c r="J826" s="1"/>
      <c r="K826" s="2"/>
      <c r="AB826" s="1"/>
      <c r="AC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spans="4:48" ht="15.75" customHeight="1">
      <c r="D827" s="1"/>
      <c r="E827" s="1"/>
      <c r="F827" s="1"/>
      <c r="J827" s="1"/>
      <c r="K827" s="2"/>
      <c r="AB827" s="1"/>
      <c r="AC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spans="4:48" ht="15.75" customHeight="1">
      <c r="D828" s="1"/>
      <c r="E828" s="1"/>
      <c r="F828" s="1"/>
      <c r="J828" s="1"/>
      <c r="K828" s="2"/>
      <c r="AB828" s="1"/>
      <c r="AC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spans="4:48" ht="15.75" customHeight="1">
      <c r="D829" s="1"/>
      <c r="E829" s="1"/>
      <c r="F829" s="1"/>
      <c r="J829" s="1"/>
      <c r="K829" s="2"/>
      <c r="AB829" s="1"/>
      <c r="AC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spans="4:48" ht="15.75" customHeight="1">
      <c r="D830" s="1"/>
      <c r="E830" s="1"/>
      <c r="F830" s="1"/>
      <c r="J830" s="1"/>
      <c r="K830" s="2"/>
      <c r="AB830" s="1"/>
      <c r="AC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spans="4:48" ht="15.75" customHeight="1">
      <c r="D831" s="1"/>
      <c r="E831" s="1"/>
      <c r="F831" s="1"/>
      <c r="J831" s="1"/>
      <c r="K831" s="2"/>
      <c r="AB831" s="1"/>
      <c r="AC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spans="4:48" ht="15.75" customHeight="1">
      <c r="D832" s="1"/>
      <c r="E832" s="1"/>
      <c r="F832" s="1"/>
      <c r="J832" s="1"/>
      <c r="K832" s="2"/>
      <c r="AB832" s="1"/>
      <c r="AC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spans="4:48" ht="15.75" customHeight="1">
      <c r="D833" s="1"/>
      <c r="E833" s="1"/>
      <c r="F833" s="1"/>
      <c r="J833" s="1"/>
      <c r="K833" s="2"/>
      <c r="AB833" s="1"/>
      <c r="AC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spans="4:48" ht="15.75" customHeight="1">
      <c r="D834" s="1"/>
      <c r="E834" s="1"/>
      <c r="F834" s="1"/>
      <c r="J834" s="1"/>
      <c r="K834" s="2"/>
      <c r="AB834" s="1"/>
      <c r="AC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spans="4:48" ht="15.75" customHeight="1">
      <c r="D835" s="1"/>
      <c r="E835" s="1"/>
      <c r="F835" s="1"/>
      <c r="J835" s="1"/>
      <c r="K835" s="2"/>
      <c r="AB835" s="1"/>
      <c r="AC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spans="4:48" ht="15.75" customHeight="1">
      <c r="D836" s="1"/>
      <c r="E836" s="1"/>
      <c r="F836" s="1"/>
      <c r="J836" s="1"/>
      <c r="K836" s="2"/>
      <c r="AB836" s="1"/>
      <c r="AC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spans="4:48" ht="15.75" customHeight="1">
      <c r="D837" s="1"/>
      <c r="E837" s="1"/>
      <c r="F837" s="1"/>
      <c r="J837" s="1"/>
      <c r="K837" s="2"/>
      <c r="AB837" s="1"/>
      <c r="AC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spans="4:48" ht="15.75" customHeight="1">
      <c r="D838" s="1"/>
      <c r="E838" s="1"/>
      <c r="F838" s="1"/>
      <c r="J838" s="1"/>
      <c r="K838" s="2"/>
      <c r="AB838" s="1"/>
      <c r="AC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spans="4:48" ht="15.75" customHeight="1">
      <c r="D839" s="1"/>
      <c r="E839" s="1"/>
      <c r="F839" s="1"/>
      <c r="J839" s="1"/>
      <c r="K839" s="2"/>
      <c r="AB839" s="1"/>
      <c r="AC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spans="4:48" ht="15.75" customHeight="1">
      <c r="D840" s="1"/>
      <c r="E840" s="1"/>
      <c r="F840" s="1"/>
      <c r="J840" s="1"/>
      <c r="K840" s="2"/>
      <c r="AB840" s="1"/>
      <c r="AC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spans="4:48" ht="15.75" customHeight="1">
      <c r="D841" s="1"/>
      <c r="E841" s="1"/>
      <c r="F841" s="1"/>
      <c r="J841" s="1"/>
      <c r="K841" s="2"/>
      <c r="AB841" s="1"/>
      <c r="AC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spans="4:48" ht="15.75" customHeight="1">
      <c r="D842" s="1"/>
      <c r="E842" s="1"/>
      <c r="F842" s="1"/>
      <c r="J842" s="1"/>
      <c r="K842" s="2"/>
      <c r="AB842" s="1"/>
      <c r="AC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spans="4:48" ht="15.75" customHeight="1">
      <c r="D843" s="1"/>
      <c r="E843" s="1"/>
      <c r="F843" s="1"/>
      <c r="J843" s="1"/>
      <c r="K843" s="2"/>
      <c r="AB843" s="1"/>
      <c r="AC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spans="4:48" ht="15.75" customHeight="1">
      <c r="D844" s="1"/>
      <c r="E844" s="1"/>
      <c r="F844" s="1"/>
      <c r="J844" s="1"/>
      <c r="K844" s="2"/>
      <c r="AB844" s="1"/>
      <c r="AC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spans="4:48" ht="15.75" customHeight="1">
      <c r="D845" s="1"/>
      <c r="E845" s="1"/>
      <c r="F845" s="1"/>
      <c r="J845" s="1"/>
      <c r="K845" s="2"/>
      <c r="AB845" s="1"/>
      <c r="AC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spans="4:48" ht="15.75" customHeight="1">
      <c r="D846" s="1"/>
      <c r="E846" s="1"/>
      <c r="F846" s="1"/>
      <c r="J846" s="1"/>
      <c r="K846" s="2"/>
      <c r="AB846" s="1"/>
      <c r="AC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spans="4:48" ht="15.75" customHeight="1">
      <c r="D847" s="1"/>
      <c r="E847" s="1"/>
      <c r="F847" s="1"/>
      <c r="J847" s="1"/>
      <c r="K847" s="2"/>
      <c r="AB847" s="1"/>
      <c r="AC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spans="4:48" ht="15.75" customHeight="1">
      <c r="D848" s="1"/>
      <c r="E848" s="1"/>
      <c r="F848" s="1"/>
      <c r="J848" s="1"/>
      <c r="K848" s="2"/>
      <c r="AB848" s="1"/>
      <c r="AC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spans="4:48" ht="15.75" customHeight="1">
      <c r="D849" s="1"/>
      <c r="E849" s="1"/>
      <c r="F849" s="1"/>
      <c r="J849" s="1"/>
      <c r="K849" s="2"/>
      <c r="AB849" s="1"/>
      <c r="AC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spans="4:48" ht="15.75" customHeight="1">
      <c r="D850" s="1"/>
      <c r="E850" s="1"/>
      <c r="F850" s="1"/>
      <c r="J850" s="1"/>
      <c r="K850" s="2"/>
      <c r="AB850" s="1"/>
      <c r="AC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spans="4:48" ht="15.75" customHeight="1">
      <c r="D851" s="1"/>
      <c r="E851" s="1"/>
      <c r="F851" s="1"/>
      <c r="J851" s="1"/>
      <c r="K851" s="2"/>
      <c r="AB851" s="1"/>
      <c r="AC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spans="4:48" ht="15.75" customHeight="1">
      <c r="D852" s="1"/>
      <c r="E852" s="1"/>
      <c r="F852" s="1"/>
      <c r="J852" s="1"/>
      <c r="K852" s="2"/>
      <c r="AB852" s="1"/>
      <c r="AC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spans="4:48" ht="15.75" customHeight="1">
      <c r="D853" s="1"/>
      <c r="E853" s="1"/>
      <c r="F853" s="1"/>
      <c r="J853" s="1"/>
      <c r="K853" s="2"/>
      <c r="AB853" s="1"/>
      <c r="AC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spans="4:48" ht="15.75" customHeight="1">
      <c r="D854" s="1"/>
      <c r="E854" s="1"/>
      <c r="F854" s="1"/>
      <c r="J854" s="1"/>
      <c r="K854" s="2"/>
      <c r="AB854" s="1"/>
      <c r="AC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spans="4:48" ht="15.75" customHeight="1">
      <c r="D855" s="1"/>
      <c r="E855" s="1"/>
      <c r="F855" s="1"/>
      <c r="J855" s="1"/>
      <c r="K855" s="2"/>
      <c r="AB855" s="1"/>
      <c r="AC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spans="4:48" ht="15.75" customHeight="1">
      <c r="D856" s="1"/>
      <c r="E856" s="1"/>
      <c r="F856" s="1"/>
      <c r="J856" s="1"/>
      <c r="K856" s="2"/>
      <c r="AB856" s="1"/>
      <c r="AC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spans="4:48" ht="15.75" customHeight="1">
      <c r="D857" s="1"/>
      <c r="E857" s="1"/>
      <c r="F857" s="1"/>
      <c r="J857" s="1"/>
      <c r="K857" s="2"/>
      <c r="AB857" s="1"/>
      <c r="AC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spans="4:48" ht="15.75" customHeight="1">
      <c r="D858" s="1"/>
      <c r="E858" s="1"/>
      <c r="F858" s="1"/>
      <c r="J858" s="1"/>
      <c r="K858" s="2"/>
      <c r="AB858" s="1"/>
      <c r="AC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spans="4:48" ht="15.75" customHeight="1">
      <c r="D859" s="1"/>
      <c r="E859" s="1"/>
      <c r="F859" s="1"/>
      <c r="J859" s="1"/>
      <c r="K859" s="2"/>
      <c r="AB859" s="1"/>
      <c r="AC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spans="4:48" ht="15.75" customHeight="1">
      <c r="D860" s="1"/>
      <c r="E860" s="1"/>
      <c r="F860" s="1"/>
      <c r="J860" s="1"/>
      <c r="K860" s="2"/>
      <c r="AB860" s="1"/>
      <c r="AC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spans="4:48" ht="15.75" customHeight="1">
      <c r="D861" s="1"/>
      <c r="E861" s="1"/>
      <c r="F861" s="1"/>
      <c r="J861" s="1"/>
      <c r="K861" s="2"/>
      <c r="AB861" s="1"/>
      <c r="AC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spans="4:48" ht="15.75" customHeight="1">
      <c r="D862" s="1"/>
      <c r="E862" s="1"/>
      <c r="F862" s="1"/>
      <c r="J862" s="1"/>
      <c r="K862" s="2"/>
      <c r="AB862" s="1"/>
      <c r="AC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spans="4:48" ht="15.75" customHeight="1">
      <c r="D863" s="1"/>
      <c r="E863" s="1"/>
      <c r="F863" s="1"/>
      <c r="J863" s="1"/>
      <c r="K863" s="2"/>
      <c r="AB863" s="1"/>
      <c r="AC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spans="4:48" ht="15.75" customHeight="1">
      <c r="D864" s="1"/>
      <c r="E864" s="1"/>
      <c r="F864" s="1"/>
      <c r="J864" s="1"/>
      <c r="K864" s="2"/>
      <c r="AB864" s="1"/>
      <c r="AC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spans="4:48" ht="15.75" customHeight="1">
      <c r="D865" s="1"/>
      <c r="E865" s="1"/>
      <c r="F865" s="1"/>
      <c r="J865" s="1"/>
      <c r="K865" s="2"/>
      <c r="AB865" s="1"/>
      <c r="AC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spans="4:48" ht="15.75" customHeight="1">
      <c r="D866" s="1"/>
      <c r="E866" s="1"/>
      <c r="F866" s="1"/>
      <c r="J866" s="1"/>
      <c r="K866" s="2"/>
      <c r="AB866" s="1"/>
      <c r="AC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spans="4:48" ht="15.75" customHeight="1">
      <c r="D867" s="1"/>
      <c r="E867" s="1"/>
      <c r="F867" s="1"/>
      <c r="J867" s="1"/>
      <c r="K867" s="2"/>
      <c r="AB867" s="1"/>
      <c r="AC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spans="4:48" ht="15.75" customHeight="1">
      <c r="D868" s="1"/>
      <c r="E868" s="1"/>
      <c r="F868" s="1"/>
      <c r="J868" s="1"/>
      <c r="K868" s="2"/>
      <c r="AB868" s="1"/>
      <c r="AC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spans="4:48" ht="15.75" customHeight="1">
      <c r="D869" s="1"/>
      <c r="E869" s="1"/>
      <c r="F869" s="1"/>
      <c r="J869" s="1"/>
      <c r="K869" s="2"/>
      <c r="AB869" s="1"/>
      <c r="AC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spans="4:48" ht="15.75" customHeight="1">
      <c r="D870" s="1"/>
      <c r="E870" s="1"/>
      <c r="F870" s="1"/>
      <c r="J870" s="1"/>
      <c r="K870" s="2"/>
      <c r="AB870" s="1"/>
      <c r="AC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spans="4:48" ht="15.75" customHeight="1">
      <c r="D871" s="1"/>
      <c r="E871" s="1"/>
      <c r="F871" s="1"/>
      <c r="J871" s="1"/>
      <c r="K871" s="2"/>
      <c r="AB871" s="1"/>
      <c r="AC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spans="4:48" ht="15.75" customHeight="1">
      <c r="D872" s="1"/>
      <c r="E872" s="1"/>
      <c r="F872" s="1"/>
      <c r="J872" s="1"/>
      <c r="K872" s="2"/>
      <c r="AB872" s="1"/>
      <c r="AC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spans="4:48" ht="15.75" customHeight="1">
      <c r="D873" s="1"/>
      <c r="E873" s="1"/>
      <c r="F873" s="1"/>
      <c r="J873" s="1"/>
      <c r="K873" s="2"/>
      <c r="AB873" s="1"/>
      <c r="AC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spans="4:48" ht="15.75" customHeight="1">
      <c r="D874" s="1"/>
      <c r="E874" s="1"/>
      <c r="F874" s="1"/>
      <c r="J874" s="1"/>
      <c r="K874" s="2"/>
      <c r="AB874" s="1"/>
      <c r="AC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spans="4:48" ht="15.75" customHeight="1">
      <c r="D875" s="1"/>
      <c r="E875" s="1"/>
      <c r="F875" s="1"/>
      <c r="J875" s="1"/>
      <c r="K875" s="2"/>
      <c r="AB875" s="1"/>
      <c r="AC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spans="4:48" ht="15.75" customHeight="1">
      <c r="D876" s="1"/>
      <c r="E876" s="1"/>
      <c r="F876" s="1"/>
      <c r="J876" s="1"/>
      <c r="K876" s="2"/>
      <c r="AB876" s="1"/>
      <c r="AC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spans="4:48" ht="15.75" customHeight="1">
      <c r="D877" s="1"/>
      <c r="E877" s="1"/>
      <c r="F877" s="1"/>
      <c r="J877" s="1"/>
      <c r="K877" s="2"/>
      <c r="AB877" s="1"/>
      <c r="AC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spans="4:48" ht="15.75" customHeight="1">
      <c r="D878" s="1"/>
      <c r="E878" s="1"/>
      <c r="F878" s="1"/>
      <c r="J878" s="1"/>
      <c r="K878" s="2"/>
      <c r="AB878" s="1"/>
      <c r="AC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spans="4:48" ht="15.75" customHeight="1">
      <c r="D879" s="1"/>
      <c r="E879" s="1"/>
      <c r="F879" s="1"/>
      <c r="J879" s="1"/>
      <c r="K879" s="2"/>
      <c r="AB879" s="1"/>
      <c r="AC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spans="4:48" ht="15.75" customHeight="1">
      <c r="D880" s="1"/>
      <c r="E880" s="1"/>
      <c r="F880" s="1"/>
      <c r="J880" s="1"/>
      <c r="K880" s="2"/>
      <c r="AB880" s="1"/>
      <c r="AC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spans="4:48" ht="15.75" customHeight="1">
      <c r="D881" s="1"/>
      <c r="E881" s="1"/>
      <c r="F881" s="1"/>
      <c r="J881" s="1"/>
      <c r="K881" s="2"/>
      <c r="AB881" s="1"/>
      <c r="AC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spans="4:48" ht="15.75" customHeight="1">
      <c r="D882" s="1"/>
      <c r="E882" s="1"/>
      <c r="F882" s="1"/>
      <c r="J882" s="1"/>
      <c r="K882" s="2"/>
      <c r="AB882" s="1"/>
      <c r="AC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spans="4:48" ht="15.75" customHeight="1">
      <c r="D883" s="1"/>
      <c r="E883" s="1"/>
      <c r="F883" s="1"/>
      <c r="J883" s="1"/>
      <c r="K883" s="2"/>
      <c r="AB883" s="1"/>
      <c r="AC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spans="4:48" ht="15.75" customHeight="1">
      <c r="D884" s="1"/>
      <c r="E884" s="1"/>
      <c r="F884" s="1"/>
      <c r="J884" s="1"/>
      <c r="K884" s="2"/>
      <c r="AB884" s="1"/>
      <c r="AC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spans="4:48" ht="15.75" customHeight="1">
      <c r="D885" s="1"/>
      <c r="E885" s="1"/>
      <c r="F885" s="1"/>
      <c r="J885" s="1"/>
      <c r="K885" s="2"/>
      <c r="AB885" s="1"/>
      <c r="AC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spans="4:48" ht="15.75" customHeight="1">
      <c r="D886" s="1"/>
      <c r="E886" s="1"/>
      <c r="F886" s="1"/>
      <c r="J886" s="1"/>
      <c r="K886" s="2"/>
      <c r="AB886" s="1"/>
      <c r="AC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spans="4:48" ht="15.75" customHeight="1">
      <c r="D887" s="1"/>
      <c r="E887" s="1"/>
      <c r="F887" s="1"/>
      <c r="J887" s="1"/>
      <c r="K887" s="2"/>
      <c r="AB887" s="1"/>
      <c r="AC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spans="4:48" ht="15.75" customHeight="1">
      <c r="D888" s="1"/>
      <c r="E888" s="1"/>
      <c r="F888" s="1"/>
      <c r="J888" s="1"/>
      <c r="K888" s="2"/>
      <c r="AB888" s="1"/>
      <c r="AC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spans="4:48" ht="15.75" customHeight="1">
      <c r="D889" s="1"/>
      <c r="E889" s="1"/>
      <c r="F889" s="1"/>
      <c r="J889" s="1"/>
      <c r="K889" s="2"/>
      <c r="AB889" s="1"/>
      <c r="AC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spans="4:48" ht="15.75" customHeight="1">
      <c r="D890" s="1"/>
      <c r="E890" s="1"/>
      <c r="F890" s="1"/>
      <c r="J890" s="1"/>
      <c r="K890" s="2"/>
      <c r="AB890" s="1"/>
      <c r="AC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spans="4:48" ht="15.75" customHeight="1">
      <c r="D891" s="1"/>
      <c r="E891" s="1"/>
      <c r="F891" s="1"/>
      <c r="J891" s="1"/>
      <c r="K891" s="2"/>
      <c r="AB891" s="1"/>
      <c r="AC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spans="4:48" ht="15.75" customHeight="1">
      <c r="D892" s="1"/>
      <c r="E892" s="1"/>
      <c r="F892" s="1"/>
      <c r="J892" s="1"/>
      <c r="K892" s="2"/>
      <c r="AB892" s="1"/>
      <c r="AC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spans="4:48" ht="15.75" customHeight="1">
      <c r="D893" s="1"/>
      <c r="E893" s="1"/>
      <c r="F893" s="1"/>
      <c r="J893" s="1"/>
      <c r="K893" s="2"/>
      <c r="AB893" s="1"/>
      <c r="AC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spans="4:48" ht="15.75" customHeight="1">
      <c r="D894" s="1"/>
      <c r="E894" s="1"/>
      <c r="F894" s="1"/>
      <c r="J894" s="1"/>
      <c r="K894" s="2"/>
      <c r="AB894" s="1"/>
      <c r="AC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spans="4:48" ht="15.75" customHeight="1">
      <c r="D895" s="1"/>
      <c r="E895" s="1"/>
      <c r="F895" s="1"/>
      <c r="J895" s="1"/>
      <c r="K895" s="2"/>
      <c r="AB895" s="1"/>
      <c r="AC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spans="4:48" ht="15.75" customHeight="1">
      <c r="D896" s="1"/>
      <c r="E896" s="1"/>
      <c r="F896" s="1"/>
      <c r="J896" s="1"/>
      <c r="K896" s="2"/>
      <c r="AB896" s="1"/>
      <c r="AC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spans="4:48" ht="15.75" customHeight="1">
      <c r="D897" s="1"/>
      <c r="E897" s="1"/>
      <c r="F897" s="1"/>
      <c r="J897" s="1"/>
      <c r="K897" s="2"/>
      <c r="AB897" s="1"/>
      <c r="AC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spans="4:48" ht="15.75" customHeight="1">
      <c r="D898" s="1"/>
      <c r="E898" s="1"/>
      <c r="F898" s="1"/>
      <c r="J898" s="1"/>
      <c r="K898" s="2"/>
      <c r="AB898" s="1"/>
      <c r="AC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spans="4:48" ht="15.75" customHeight="1">
      <c r="D899" s="1"/>
      <c r="E899" s="1"/>
      <c r="F899" s="1"/>
      <c r="J899" s="1"/>
      <c r="K899" s="2"/>
      <c r="AB899" s="1"/>
      <c r="AC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spans="4:48" ht="15.75" customHeight="1">
      <c r="D900" s="1"/>
      <c r="E900" s="1"/>
      <c r="F900" s="1"/>
      <c r="J900" s="1"/>
      <c r="K900" s="2"/>
      <c r="AB900" s="1"/>
      <c r="AC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spans="4:48" ht="15.75" customHeight="1">
      <c r="D901" s="1"/>
      <c r="E901" s="1"/>
      <c r="F901" s="1"/>
      <c r="J901" s="1"/>
      <c r="K901" s="2"/>
      <c r="AB901" s="1"/>
      <c r="AC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spans="4:48" ht="15.75" customHeight="1">
      <c r="D902" s="1"/>
      <c r="E902" s="1"/>
      <c r="F902" s="1"/>
      <c r="J902" s="1"/>
      <c r="K902" s="2"/>
      <c r="AB902" s="1"/>
      <c r="AC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spans="4:48" ht="15.75" customHeight="1">
      <c r="D903" s="1"/>
      <c r="E903" s="1"/>
      <c r="F903" s="1"/>
      <c r="J903" s="1"/>
      <c r="K903" s="2"/>
      <c r="AB903" s="1"/>
      <c r="AC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spans="4:48" ht="15.75" customHeight="1">
      <c r="D904" s="1"/>
      <c r="E904" s="1"/>
      <c r="F904" s="1"/>
      <c r="J904" s="1"/>
      <c r="K904" s="2"/>
      <c r="AB904" s="1"/>
      <c r="AC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spans="4:48" ht="15.75" customHeight="1">
      <c r="D905" s="1"/>
      <c r="E905" s="1"/>
      <c r="F905" s="1"/>
      <c r="J905" s="1"/>
      <c r="K905" s="2"/>
      <c r="AB905" s="1"/>
      <c r="AC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spans="4:48" ht="15.75" customHeight="1">
      <c r="D906" s="1"/>
      <c r="E906" s="1"/>
      <c r="F906" s="1"/>
      <c r="J906" s="1"/>
      <c r="K906" s="2"/>
      <c r="AB906" s="1"/>
      <c r="AC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spans="4:48" ht="15.75" customHeight="1">
      <c r="D907" s="1"/>
      <c r="E907" s="1"/>
      <c r="F907" s="1"/>
      <c r="J907" s="1"/>
      <c r="K907" s="2"/>
      <c r="AB907" s="1"/>
      <c r="AC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spans="4:48" ht="15.75" customHeight="1">
      <c r="D908" s="1"/>
      <c r="E908" s="1"/>
      <c r="F908" s="1"/>
      <c r="J908" s="1"/>
      <c r="K908" s="2"/>
      <c r="AB908" s="1"/>
      <c r="AC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spans="4:48" ht="15.75" customHeight="1">
      <c r="D909" s="1"/>
      <c r="E909" s="1"/>
      <c r="F909" s="1"/>
      <c r="J909" s="1"/>
      <c r="K909" s="2"/>
      <c r="AB909" s="1"/>
      <c r="AC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spans="4:48" ht="15.75" customHeight="1">
      <c r="D910" s="1"/>
      <c r="E910" s="1"/>
      <c r="F910" s="1"/>
      <c r="J910" s="1"/>
      <c r="K910" s="2"/>
      <c r="AB910" s="1"/>
      <c r="AC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spans="4:48" ht="15.75" customHeight="1">
      <c r="D911" s="1"/>
      <c r="E911" s="1"/>
      <c r="F911" s="1"/>
      <c r="J911" s="1"/>
      <c r="K911" s="2"/>
      <c r="AB911" s="1"/>
      <c r="AC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spans="4:48" ht="15.75" customHeight="1">
      <c r="D912" s="1"/>
      <c r="E912" s="1"/>
      <c r="F912" s="1"/>
      <c r="J912" s="1"/>
      <c r="K912" s="2"/>
      <c r="AB912" s="1"/>
      <c r="AC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spans="4:48" ht="15.75" customHeight="1">
      <c r="D913" s="1"/>
      <c r="E913" s="1"/>
      <c r="F913" s="1"/>
      <c r="J913" s="1"/>
      <c r="K913" s="2"/>
      <c r="AB913" s="1"/>
      <c r="AC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spans="4:48" ht="15.75" customHeight="1">
      <c r="D914" s="1"/>
      <c r="E914" s="1"/>
      <c r="F914" s="1"/>
      <c r="J914" s="1"/>
      <c r="K914" s="2"/>
      <c r="AB914" s="1"/>
      <c r="AC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spans="4:48" ht="15.75" customHeight="1">
      <c r="D915" s="1"/>
      <c r="E915" s="1"/>
      <c r="F915" s="1"/>
      <c r="J915" s="1"/>
      <c r="K915" s="2"/>
      <c r="AB915" s="1"/>
      <c r="AC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spans="4:48" ht="15.75" customHeight="1">
      <c r="D916" s="1"/>
      <c r="E916" s="1"/>
      <c r="F916" s="1"/>
      <c r="J916" s="1"/>
      <c r="K916" s="2"/>
      <c r="AB916" s="1"/>
      <c r="AC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spans="4:48" ht="15.75" customHeight="1">
      <c r="D917" s="1"/>
      <c r="E917" s="1"/>
      <c r="F917" s="1"/>
      <c r="J917" s="1"/>
      <c r="K917" s="2"/>
      <c r="AB917" s="1"/>
      <c r="AC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spans="4:48" ht="15.75" customHeight="1">
      <c r="D918" s="1"/>
      <c r="E918" s="1"/>
      <c r="F918" s="1"/>
      <c r="J918" s="1"/>
      <c r="K918" s="2"/>
      <c r="AB918" s="1"/>
      <c r="AC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spans="4:48" ht="15.75" customHeight="1">
      <c r="D919" s="1"/>
      <c r="E919" s="1"/>
      <c r="F919" s="1"/>
      <c r="J919" s="1"/>
      <c r="K919" s="2"/>
      <c r="AB919" s="1"/>
      <c r="AC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spans="4:48" ht="15.75" customHeight="1">
      <c r="D920" s="1"/>
      <c r="E920" s="1"/>
      <c r="F920" s="1"/>
      <c r="J920" s="1"/>
      <c r="K920" s="2"/>
      <c r="AB920" s="1"/>
      <c r="AC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spans="4:48" ht="15.75" customHeight="1">
      <c r="D921" s="1"/>
      <c r="E921" s="1"/>
      <c r="F921" s="1"/>
      <c r="J921" s="1"/>
      <c r="K921" s="2"/>
      <c r="AB921" s="1"/>
      <c r="AC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spans="4:48" ht="15.75" customHeight="1">
      <c r="D922" s="1"/>
      <c r="E922" s="1"/>
      <c r="F922" s="1"/>
      <c r="J922" s="1"/>
      <c r="K922" s="2"/>
      <c r="AB922" s="1"/>
      <c r="AC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spans="4:48" ht="15.75" customHeight="1">
      <c r="D923" s="1"/>
      <c r="E923" s="1"/>
      <c r="F923" s="1"/>
      <c r="J923" s="1"/>
      <c r="K923" s="2"/>
      <c r="AB923" s="1"/>
      <c r="AC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spans="4:48" ht="15.75" customHeight="1">
      <c r="D924" s="1"/>
      <c r="E924" s="1"/>
      <c r="F924" s="1"/>
      <c r="J924" s="1"/>
      <c r="K924" s="2"/>
      <c r="AB924" s="1"/>
      <c r="AC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spans="4:48" ht="15.75" customHeight="1">
      <c r="D925" s="1"/>
      <c r="E925" s="1"/>
      <c r="F925" s="1"/>
      <c r="J925" s="1"/>
      <c r="K925" s="2"/>
      <c r="AB925" s="1"/>
      <c r="AC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spans="4:48" ht="15.75" customHeight="1">
      <c r="D926" s="1"/>
      <c r="E926" s="1"/>
      <c r="F926" s="1"/>
      <c r="J926" s="1"/>
      <c r="K926" s="2"/>
      <c r="AB926" s="1"/>
      <c r="AC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spans="4:48" ht="15.75" customHeight="1">
      <c r="D927" s="1"/>
      <c r="E927" s="1"/>
      <c r="F927" s="1"/>
      <c r="J927" s="1"/>
      <c r="K927" s="2"/>
      <c r="AB927" s="1"/>
      <c r="AC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spans="4:48" ht="15.75" customHeight="1">
      <c r="D928" s="1"/>
      <c r="E928" s="1"/>
      <c r="F928" s="1"/>
      <c r="J928" s="1"/>
      <c r="K928" s="2"/>
      <c r="AB928" s="1"/>
      <c r="AC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spans="4:48" ht="15.75" customHeight="1">
      <c r="D929" s="1"/>
      <c r="E929" s="1"/>
      <c r="F929" s="1"/>
      <c r="J929" s="1"/>
      <c r="K929" s="2"/>
      <c r="AB929" s="1"/>
      <c r="AC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spans="4:48" ht="15.75" customHeight="1">
      <c r="D930" s="1"/>
      <c r="E930" s="1"/>
      <c r="F930" s="1"/>
      <c r="J930" s="1"/>
      <c r="K930" s="2"/>
      <c r="AB930" s="1"/>
      <c r="AC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spans="4:48" ht="15.75" customHeight="1">
      <c r="D931" s="1"/>
      <c r="E931" s="1"/>
      <c r="F931" s="1"/>
      <c r="J931" s="1"/>
      <c r="K931" s="2"/>
      <c r="AB931" s="1"/>
      <c r="AC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spans="4:48" ht="15.75" customHeight="1">
      <c r="D932" s="1"/>
      <c r="E932" s="1"/>
      <c r="F932" s="1"/>
      <c r="J932" s="1"/>
      <c r="K932" s="2"/>
      <c r="AB932" s="1"/>
      <c r="AC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spans="4:48" ht="15.75" customHeight="1">
      <c r="D933" s="1"/>
      <c r="E933" s="1"/>
      <c r="F933" s="1"/>
      <c r="J933" s="1"/>
      <c r="K933" s="2"/>
      <c r="AB933" s="1"/>
      <c r="AC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spans="4:48" ht="15.75" customHeight="1">
      <c r="D934" s="1"/>
      <c r="E934" s="1"/>
      <c r="F934" s="1"/>
      <c r="J934" s="1"/>
      <c r="K934" s="2"/>
      <c r="AB934" s="1"/>
      <c r="AC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spans="4:48" ht="15.75" customHeight="1">
      <c r="D935" s="1"/>
      <c r="E935" s="1"/>
      <c r="F935" s="1"/>
      <c r="J935" s="1"/>
      <c r="K935" s="2"/>
      <c r="AB935" s="1"/>
      <c r="AC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spans="4:48" ht="15.75" customHeight="1">
      <c r="D936" s="1"/>
      <c r="E936" s="1"/>
      <c r="F936" s="1"/>
      <c r="J936" s="1"/>
      <c r="K936" s="2"/>
      <c r="AB936" s="1"/>
      <c r="AC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spans="4:48" ht="15.75" customHeight="1">
      <c r="D937" s="1"/>
      <c r="E937" s="1"/>
      <c r="F937" s="1"/>
      <c r="J937" s="1"/>
      <c r="K937" s="2"/>
      <c r="AB937" s="1"/>
      <c r="AC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spans="4:48" ht="15.75" customHeight="1">
      <c r="D938" s="1"/>
      <c r="E938" s="1"/>
      <c r="F938" s="1"/>
      <c r="J938" s="1"/>
      <c r="K938" s="2"/>
      <c r="AB938" s="1"/>
      <c r="AC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spans="4:48" ht="15.75" customHeight="1">
      <c r="D939" s="1"/>
      <c r="E939" s="1"/>
      <c r="F939" s="1"/>
      <c r="J939" s="1"/>
      <c r="K939" s="2"/>
      <c r="AB939" s="1"/>
      <c r="AC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spans="4:48" ht="15.75" customHeight="1">
      <c r="D940" s="1"/>
      <c r="E940" s="1"/>
      <c r="F940" s="1"/>
      <c r="J940" s="1"/>
      <c r="K940" s="2"/>
      <c r="AB940" s="1"/>
      <c r="AC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spans="4:48" ht="15.75" customHeight="1">
      <c r="D941" s="1"/>
      <c r="E941" s="1"/>
      <c r="F941" s="1"/>
      <c r="J941" s="1"/>
      <c r="K941" s="2"/>
      <c r="AB941" s="1"/>
      <c r="AC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spans="4:48" ht="15.75" customHeight="1">
      <c r="D942" s="1"/>
      <c r="E942" s="1"/>
      <c r="F942" s="1"/>
      <c r="J942" s="1"/>
      <c r="K942" s="2"/>
      <c r="AB942" s="1"/>
      <c r="AC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spans="4:48" ht="15.75" customHeight="1">
      <c r="D943" s="1"/>
      <c r="E943" s="1"/>
      <c r="F943" s="1"/>
      <c r="J943" s="1"/>
      <c r="K943" s="2"/>
      <c r="AB943" s="1"/>
      <c r="AC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spans="4:48" ht="15.75" customHeight="1">
      <c r="D944" s="1"/>
      <c r="E944" s="1"/>
      <c r="F944" s="1"/>
      <c r="J944" s="1"/>
      <c r="K944" s="2"/>
      <c r="AB944" s="1"/>
      <c r="AC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spans="4:48" ht="15.75" customHeight="1">
      <c r="D945" s="1"/>
      <c r="E945" s="1"/>
      <c r="F945" s="1"/>
      <c r="J945" s="1"/>
      <c r="K945" s="2"/>
      <c r="AB945" s="1"/>
      <c r="AC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spans="4:48" ht="15.75" customHeight="1">
      <c r="D946" s="1"/>
      <c r="E946" s="1"/>
      <c r="F946" s="1"/>
      <c r="J946" s="1"/>
      <c r="K946" s="2"/>
      <c r="AB946" s="1"/>
      <c r="AC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spans="4:48" ht="15.75" customHeight="1">
      <c r="D947" s="1"/>
      <c r="E947" s="1"/>
      <c r="F947" s="1"/>
      <c r="J947" s="1"/>
      <c r="K947" s="2"/>
      <c r="AB947" s="1"/>
      <c r="AC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spans="4:48" ht="15.75" customHeight="1">
      <c r="D948" s="1"/>
      <c r="E948" s="1"/>
      <c r="F948" s="1"/>
      <c r="J948" s="1"/>
      <c r="K948" s="2"/>
      <c r="AB948" s="1"/>
      <c r="AC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spans="4:48" ht="15.75" customHeight="1">
      <c r="D949" s="1"/>
      <c r="E949" s="1"/>
      <c r="F949" s="1"/>
      <c r="J949" s="1"/>
      <c r="K949" s="2"/>
      <c r="AB949" s="1"/>
      <c r="AC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spans="4:48" ht="15.75" customHeight="1">
      <c r="D950" s="1"/>
      <c r="E950" s="1"/>
      <c r="F950" s="1"/>
      <c r="J950" s="1"/>
      <c r="K950" s="2"/>
      <c r="AB950" s="1"/>
      <c r="AC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spans="4:48" ht="15.75" customHeight="1">
      <c r="D951" s="1"/>
      <c r="E951" s="1"/>
      <c r="F951" s="1"/>
      <c r="J951" s="1"/>
      <c r="K951" s="2"/>
      <c r="AB951" s="1"/>
      <c r="AC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spans="4:48" ht="15.75" customHeight="1">
      <c r="D952" s="1"/>
      <c r="E952" s="1"/>
      <c r="F952" s="1"/>
      <c r="J952" s="1"/>
      <c r="K952" s="2"/>
      <c r="AB952" s="1"/>
      <c r="AC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spans="4:48" ht="15.75" customHeight="1">
      <c r="D953" s="1"/>
      <c r="E953" s="1"/>
      <c r="F953" s="1"/>
      <c r="J953" s="1"/>
      <c r="K953" s="2"/>
      <c r="AB953" s="1"/>
      <c r="AC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spans="4:48" ht="15.75" customHeight="1">
      <c r="D954" s="1"/>
      <c r="E954" s="1"/>
      <c r="F954" s="1"/>
      <c r="J954" s="1"/>
      <c r="K954" s="2"/>
      <c r="AB954" s="1"/>
      <c r="AC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spans="4:48" ht="15.75" customHeight="1">
      <c r="D955" s="1"/>
      <c r="E955" s="1"/>
      <c r="F955" s="1"/>
      <c r="J955" s="1"/>
      <c r="K955" s="2"/>
      <c r="AB955" s="1"/>
      <c r="AC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spans="4:48" ht="15.75" customHeight="1">
      <c r="D956" s="1"/>
      <c r="E956" s="1"/>
      <c r="F956" s="1"/>
      <c r="J956" s="1"/>
      <c r="K956" s="2"/>
      <c r="AB956" s="1"/>
      <c r="AC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spans="4:48" ht="15.75" customHeight="1">
      <c r="D957" s="1"/>
      <c r="E957" s="1"/>
      <c r="F957" s="1"/>
      <c r="J957" s="1"/>
      <c r="K957" s="2"/>
      <c r="AB957" s="1"/>
      <c r="AC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spans="4:48" ht="15.75" customHeight="1">
      <c r="D958" s="1"/>
      <c r="E958" s="1"/>
      <c r="F958" s="1"/>
      <c r="J958" s="1"/>
      <c r="K958" s="2"/>
      <c r="AB958" s="1"/>
      <c r="AC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spans="4:48" ht="15.75" customHeight="1">
      <c r="D959" s="1"/>
      <c r="E959" s="1"/>
      <c r="F959" s="1"/>
      <c r="J959" s="1"/>
      <c r="K959" s="2"/>
      <c r="AB959" s="1"/>
      <c r="AC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spans="4:48" ht="15.75" customHeight="1">
      <c r="D960" s="1"/>
      <c r="E960" s="1"/>
      <c r="F960" s="1"/>
      <c r="J960" s="1"/>
      <c r="K960" s="2"/>
      <c r="AB960" s="1"/>
      <c r="AC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spans="4:48" ht="15.75" customHeight="1">
      <c r="D961" s="1"/>
      <c r="E961" s="1"/>
      <c r="F961" s="1"/>
      <c r="J961" s="1"/>
      <c r="K961" s="2"/>
      <c r="AB961" s="1"/>
      <c r="AC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spans="4:48" ht="15.75" customHeight="1">
      <c r="D962" s="1"/>
      <c r="E962" s="1"/>
      <c r="F962" s="1"/>
      <c r="J962" s="1"/>
      <c r="K962" s="2"/>
      <c r="AB962" s="1"/>
      <c r="AC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spans="4:48" ht="15.75" customHeight="1">
      <c r="D963" s="1"/>
      <c r="E963" s="1"/>
      <c r="F963" s="1"/>
      <c r="J963" s="1"/>
      <c r="K963" s="2"/>
      <c r="AB963" s="1"/>
      <c r="AC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spans="4:48" ht="15.75" customHeight="1">
      <c r="D964" s="1"/>
      <c r="E964" s="1"/>
      <c r="F964" s="1"/>
      <c r="J964" s="1"/>
      <c r="K964" s="2"/>
      <c r="AB964" s="1"/>
      <c r="AC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spans="4:48" ht="15.75" customHeight="1">
      <c r="D965" s="1"/>
      <c r="E965" s="1"/>
      <c r="F965" s="1"/>
      <c r="J965" s="1"/>
      <c r="K965" s="2"/>
      <c r="AB965" s="1"/>
      <c r="AC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spans="4:48" ht="15.75" customHeight="1">
      <c r="D966" s="1"/>
      <c r="E966" s="1"/>
      <c r="F966" s="1"/>
      <c r="J966" s="1"/>
      <c r="K966" s="2"/>
      <c r="AB966" s="1"/>
      <c r="AC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spans="4:48" ht="15.75" customHeight="1">
      <c r="D967" s="1"/>
      <c r="E967" s="1"/>
      <c r="F967" s="1"/>
      <c r="J967" s="1"/>
      <c r="K967" s="2"/>
      <c r="AB967" s="1"/>
      <c r="AC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spans="4:48" ht="15.75" customHeight="1">
      <c r="D968" s="1"/>
      <c r="E968" s="1"/>
      <c r="F968" s="1"/>
      <c r="J968" s="1"/>
      <c r="K968" s="2"/>
      <c r="AB968" s="1"/>
      <c r="AC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spans="4:48" ht="15.75" customHeight="1">
      <c r="D969" s="1"/>
      <c r="E969" s="1"/>
      <c r="F969" s="1"/>
      <c r="J969" s="1"/>
      <c r="K969" s="2"/>
      <c r="AB969" s="1"/>
      <c r="AC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spans="4:48" ht="15.75" customHeight="1">
      <c r="D970" s="1"/>
      <c r="E970" s="1"/>
      <c r="F970" s="1"/>
      <c r="J970" s="1"/>
      <c r="K970" s="2"/>
      <c r="AB970" s="1"/>
      <c r="AC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spans="4:48" ht="15.75" customHeight="1">
      <c r="D971" s="1"/>
      <c r="E971" s="1"/>
      <c r="F971" s="1"/>
      <c r="J971" s="1"/>
      <c r="K971" s="2"/>
      <c r="AB971" s="1"/>
      <c r="AC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spans="4:48" ht="15.75" customHeight="1">
      <c r="D972" s="1"/>
      <c r="E972" s="1"/>
      <c r="F972" s="1"/>
      <c r="J972" s="1"/>
      <c r="K972" s="2"/>
      <c r="AB972" s="1"/>
      <c r="AC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spans="4:48" ht="15.75" customHeight="1">
      <c r="D973" s="1"/>
      <c r="E973" s="1"/>
      <c r="F973" s="1"/>
      <c r="J973" s="1"/>
      <c r="K973" s="2"/>
      <c r="AB973" s="1"/>
      <c r="AC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spans="4:48" ht="15.75" customHeight="1">
      <c r="D974" s="1"/>
      <c r="E974" s="1"/>
      <c r="F974" s="1"/>
      <c r="J974" s="1"/>
      <c r="K974" s="2"/>
      <c r="AB974" s="1"/>
      <c r="AC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spans="4:48" ht="15.75" customHeight="1">
      <c r="D975" s="1"/>
      <c r="E975" s="1"/>
      <c r="F975" s="1"/>
      <c r="J975" s="1"/>
      <c r="K975" s="2"/>
      <c r="AB975" s="1"/>
      <c r="AC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spans="4:48" ht="15.75" customHeight="1">
      <c r="D976" s="1"/>
      <c r="E976" s="1"/>
      <c r="F976" s="1"/>
      <c r="J976" s="1"/>
      <c r="K976" s="2"/>
      <c r="AB976" s="1"/>
      <c r="AC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spans="4:48" ht="15.75" customHeight="1">
      <c r="D977" s="1"/>
      <c r="E977" s="1"/>
      <c r="F977" s="1"/>
      <c r="J977" s="1"/>
      <c r="K977" s="2"/>
      <c r="AB977" s="1"/>
      <c r="AC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spans="4:48" ht="15.75" customHeight="1">
      <c r="D978" s="1"/>
      <c r="E978" s="1"/>
      <c r="F978" s="1"/>
      <c r="J978" s="1"/>
      <c r="K978" s="2"/>
      <c r="AB978" s="1"/>
      <c r="AC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spans="4:48" ht="15.75" customHeight="1">
      <c r="D979" s="1"/>
      <c r="E979" s="1"/>
      <c r="F979" s="1"/>
      <c r="J979" s="1"/>
      <c r="K979" s="2"/>
      <c r="AB979" s="1"/>
      <c r="AC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spans="4:48" ht="15.75" customHeight="1">
      <c r="D980" s="1"/>
      <c r="E980" s="1"/>
      <c r="F980" s="1"/>
      <c r="J980" s="1"/>
      <c r="K980" s="2"/>
      <c r="AB980" s="1"/>
      <c r="AC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spans="4:48" ht="15.75" customHeight="1">
      <c r="D981" s="1"/>
      <c r="E981" s="1"/>
      <c r="F981" s="1"/>
      <c r="J981" s="1"/>
      <c r="K981" s="2"/>
      <c r="AB981" s="1"/>
      <c r="AC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spans="4:48" ht="15.75" customHeight="1">
      <c r="D982" s="1"/>
      <c r="E982" s="1"/>
      <c r="F982" s="1"/>
      <c r="J982" s="1"/>
      <c r="K982" s="2"/>
      <c r="AB982" s="1"/>
      <c r="AC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spans="4:48" ht="15.75" customHeight="1">
      <c r="D983" s="1"/>
      <c r="E983" s="1"/>
      <c r="F983" s="1"/>
      <c r="J983" s="1"/>
      <c r="K983" s="2"/>
      <c r="AB983" s="1"/>
      <c r="AC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spans="4:48" ht="15.75" customHeight="1">
      <c r="D984" s="1"/>
      <c r="E984" s="1"/>
      <c r="F984" s="1"/>
      <c r="J984" s="1"/>
      <c r="K984" s="2"/>
      <c r="AB984" s="1"/>
      <c r="AC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spans="4:48" ht="15.75" customHeight="1">
      <c r="D985" s="1"/>
      <c r="E985" s="1"/>
      <c r="F985" s="1"/>
      <c r="J985" s="1"/>
      <c r="K985" s="2"/>
      <c r="AB985" s="1"/>
      <c r="AC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spans="4:48" ht="15.75" customHeight="1">
      <c r="D986" s="1"/>
      <c r="E986" s="1"/>
      <c r="F986" s="1"/>
      <c r="J986" s="1"/>
      <c r="K986" s="2"/>
      <c r="AB986" s="1"/>
      <c r="AC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spans="4:48" ht="15.75" customHeight="1">
      <c r="D987" s="1"/>
      <c r="E987" s="1"/>
      <c r="F987" s="1"/>
      <c r="J987" s="1"/>
      <c r="K987" s="2"/>
      <c r="AB987" s="1"/>
      <c r="AC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spans="4:48" ht="15.75" customHeight="1">
      <c r="D988" s="1"/>
      <c r="E988" s="1"/>
      <c r="F988" s="1"/>
      <c r="J988" s="1"/>
      <c r="K988" s="2"/>
      <c r="AB988" s="1"/>
      <c r="AC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spans="4:48" ht="15.75" customHeight="1">
      <c r="D989" s="1"/>
      <c r="E989" s="1"/>
      <c r="F989" s="1"/>
      <c r="J989" s="1"/>
      <c r="K989" s="2"/>
      <c r="AB989" s="1"/>
      <c r="AC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spans="4:48" ht="15.75" customHeight="1">
      <c r="D990" s="1"/>
      <c r="E990" s="1"/>
      <c r="F990" s="1"/>
      <c r="J990" s="1"/>
      <c r="K990" s="2"/>
      <c r="AB990" s="1"/>
      <c r="AC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spans="4:48" ht="15.75" customHeight="1">
      <c r="D991" s="1"/>
      <c r="E991" s="1"/>
      <c r="F991" s="1"/>
      <c r="J991" s="1"/>
      <c r="K991" s="2"/>
      <c r="AB991" s="1"/>
      <c r="AC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spans="4:48" ht="15.75" customHeight="1">
      <c r="D992" s="1"/>
      <c r="E992" s="1"/>
      <c r="F992" s="1"/>
      <c r="J992" s="1"/>
      <c r="K992" s="2"/>
      <c r="AB992" s="1"/>
      <c r="AC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spans="4:48" ht="15.75" customHeight="1">
      <c r="D993" s="1"/>
      <c r="E993" s="1"/>
      <c r="F993" s="1"/>
      <c r="J993" s="1"/>
      <c r="K993" s="2"/>
      <c r="AB993" s="1"/>
      <c r="AC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spans="4:48" ht="15.75" customHeight="1">
      <c r="D994" s="1"/>
      <c r="E994" s="1"/>
      <c r="F994" s="1"/>
      <c r="J994" s="1"/>
      <c r="K994" s="2"/>
      <c r="AB994" s="1"/>
      <c r="AC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spans="4:48" ht="15.75" customHeight="1">
      <c r="D995" s="1"/>
      <c r="E995" s="1"/>
      <c r="F995" s="1"/>
      <c r="J995" s="1"/>
      <c r="K995" s="2"/>
      <c r="AB995" s="1"/>
      <c r="AC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spans="4:48" ht="15.75" customHeight="1">
      <c r="D996" s="1"/>
      <c r="E996" s="1"/>
      <c r="F996" s="1"/>
      <c r="J996" s="1"/>
      <c r="K996" s="2"/>
      <c r="AB996" s="1"/>
      <c r="AC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spans="4:48" ht="15.75" customHeight="1">
      <c r="D997" s="1"/>
      <c r="E997" s="1"/>
      <c r="F997" s="1"/>
      <c r="J997" s="1"/>
      <c r="K997" s="2"/>
      <c r="AB997" s="1"/>
      <c r="AC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spans="4:48" ht="15.75" customHeight="1">
      <c r="D998" s="1"/>
      <c r="E998" s="1"/>
      <c r="F998" s="1"/>
      <c r="J998" s="1"/>
      <c r="K998" s="2"/>
      <c r="AB998" s="1"/>
      <c r="AC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spans="4:48" ht="15.75" customHeight="1">
      <c r="D999" s="1"/>
      <c r="E999" s="1"/>
      <c r="F999" s="1"/>
      <c r="J999" s="1"/>
      <c r="K999" s="2"/>
      <c r="AB999" s="1"/>
      <c r="AC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spans="4:48" ht="15.75" customHeight="1">
      <c r="D1000" s="1"/>
      <c r="E1000" s="1"/>
      <c r="F1000" s="1"/>
      <c r="J1000" s="1"/>
      <c r="K1000" s="2"/>
      <c r="AB1000" s="1"/>
      <c r="AC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</sheetData>
  <mergeCells count="25">
    <mergeCell ref="BI1:BL1"/>
    <mergeCell ref="CH24:CJ24"/>
    <mergeCell ref="CL24:CN24"/>
    <mergeCell ref="CT24:CV24"/>
    <mergeCell ref="CP24:CR24"/>
    <mergeCell ref="BG24:BI24"/>
    <mergeCell ref="BO24:BQ24"/>
    <mergeCell ref="BS24:BU24"/>
    <mergeCell ref="BW24:BY24"/>
    <mergeCell ref="BZ24:CB24"/>
    <mergeCell ref="CD24:CF24"/>
    <mergeCell ref="AY24:BA24"/>
    <mergeCell ref="BM2:BP2"/>
    <mergeCell ref="E24:H24"/>
    <mergeCell ref="I24:P24"/>
    <mergeCell ref="R24:U24"/>
    <mergeCell ref="V24:X24"/>
    <mergeCell ref="AA24:AD24"/>
    <mergeCell ref="BK24:BM24"/>
    <mergeCell ref="BC24:BE24"/>
    <mergeCell ref="AE24:AH24"/>
    <mergeCell ref="AI24:AL24"/>
    <mergeCell ref="AM24:AP24"/>
    <mergeCell ref="AQ24:AS24"/>
    <mergeCell ref="AU24:AW24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Z1000"/>
  <sheetViews>
    <sheetView workbookViewId="0"/>
  </sheetViews>
  <sheetFormatPr baseColWidth="10" defaultColWidth="14.42578125" defaultRowHeight="15" customHeight="1"/>
  <cols>
    <col min="1" max="1" width="30" customWidth="1"/>
    <col min="2" max="2" width="47.85546875" customWidth="1"/>
    <col min="3" max="3" width="66.7109375" customWidth="1"/>
    <col min="4" max="26" width="8.7109375" customWidth="1"/>
  </cols>
  <sheetData>
    <row r="5" spans="1:3">
      <c r="A5" s="43" t="s">
        <v>141</v>
      </c>
    </row>
    <row r="6" spans="1:3">
      <c r="A6" s="44" t="s">
        <v>142</v>
      </c>
    </row>
    <row r="7" spans="1:3">
      <c r="A7" s="44" t="s">
        <v>143</v>
      </c>
    </row>
    <row r="8" spans="1:3">
      <c r="A8" s="44" t="s">
        <v>144</v>
      </c>
    </row>
    <row r="9" spans="1:3">
      <c r="A9" s="44" t="s">
        <v>145</v>
      </c>
    </row>
    <row r="12" spans="1:3">
      <c r="A12" s="45" t="s">
        <v>146</v>
      </c>
      <c r="B12" s="45" t="s">
        <v>147</v>
      </c>
      <c r="C12" s="45" t="s">
        <v>148</v>
      </c>
    </row>
    <row r="13" spans="1:3">
      <c r="A13" s="46" t="s">
        <v>149</v>
      </c>
      <c r="B13" s="46" t="s">
        <v>150</v>
      </c>
      <c r="C13" s="46" t="s">
        <v>151</v>
      </c>
    </row>
    <row r="14" spans="1:3">
      <c r="A14" s="46" t="s">
        <v>152</v>
      </c>
      <c r="B14" s="46" t="s">
        <v>153</v>
      </c>
      <c r="C14" s="46" t="s">
        <v>154</v>
      </c>
    </row>
    <row r="15" spans="1:3">
      <c r="A15" s="46" t="s">
        <v>155</v>
      </c>
      <c r="B15" s="46" t="s">
        <v>153</v>
      </c>
      <c r="C15" s="46" t="s">
        <v>154</v>
      </c>
    </row>
    <row r="19" spans="1:26">
      <c r="A19" s="47" t="s">
        <v>156</v>
      </c>
      <c r="B19" s="47" t="s">
        <v>157</v>
      </c>
      <c r="C19" s="47" t="s">
        <v>158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A20" s="48" t="s">
        <v>159</v>
      </c>
      <c r="B20" s="48" t="s">
        <v>160</v>
      </c>
      <c r="C20" s="48" t="s">
        <v>161</v>
      </c>
    </row>
    <row r="21" spans="1:26" ht="15.75" customHeight="1">
      <c r="A21" s="48" t="s">
        <v>162</v>
      </c>
      <c r="B21" s="48" t="s">
        <v>9</v>
      </c>
      <c r="C21" s="48" t="s">
        <v>163</v>
      </c>
    </row>
    <row r="22" spans="1:26" ht="15.75" customHeight="1">
      <c r="A22" s="48" t="s">
        <v>164</v>
      </c>
      <c r="B22" s="48" t="s">
        <v>165</v>
      </c>
      <c r="C22" s="48" t="s">
        <v>166</v>
      </c>
    </row>
    <row r="23" spans="1:26" ht="15.75" customHeight="1">
      <c r="A23" s="48" t="s">
        <v>167</v>
      </c>
      <c r="B23" s="48" t="s">
        <v>7</v>
      </c>
      <c r="C23" s="48" t="s">
        <v>168</v>
      </c>
    </row>
    <row r="24" spans="1:26" ht="15.75" customHeight="1"/>
    <row r="25" spans="1:26" ht="15.75" customHeight="1"/>
    <row r="26" spans="1:26" ht="15.75" customHeight="1">
      <c r="A26" s="49" t="s">
        <v>169</v>
      </c>
      <c r="B26" s="49" t="s">
        <v>170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50" t="s">
        <v>171</v>
      </c>
      <c r="B27" s="50" t="s">
        <v>172</v>
      </c>
    </row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Simulación</vt:lpstr>
      <vt:lpstr>Contenido de la simulación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Escudero</dc:creator>
  <cp:lastModifiedBy>Nicolás Guardatti</cp:lastModifiedBy>
  <dcterms:created xsi:type="dcterms:W3CDTF">2025-10-13T00:06:13Z</dcterms:created>
  <dcterms:modified xsi:type="dcterms:W3CDTF">2025-10-22T00:35:06Z</dcterms:modified>
</cp:coreProperties>
</file>